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G2001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<sst xmlns="http://schemas.openxmlformats.org/spreadsheetml/2006/main" count="106" uniqueCount="106">
  <si>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Havi kereseti és létszámadatok 2019-től</t>
  </si>
  <si>
    <t>Munkáltatók teljes köre (alkalmazottal rendelkező vállalkozások, nonprofit szervezetek, illetve költségvetési intézmények teljes körűen)</t>
  </si>
  <si>
    <t>(2022. év; Mindösszesen Terület; Mindösszesen Összevont létszám-kategóriák; Mindösszesen Összevont gazdálkodási formák)</t>
  </si>
  <si>
    <t>Mutatók</t>
  </si>
  <si>
    <t>TEÁOR'08 és összevont szakágazatok</t>
  </si>
  <si>
    <t>Teljes munkaidős fizikaiak létszáma (fő)</t>
  </si>
  <si>
    <t>Teljes munkaidős szellemiek létszáma (fő)</t>
  </si>
  <si>
    <t>Nem teljes munkaidőben (de legalább havi 60 munkaórában) alkalmazásban álló fizikai foglalkozásúak átlagos állományi létszáma (fő)</t>
  </si>
  <si>
    <t>Nem teljes munkaidőben (de legalább havi 60 munkaórában) alkalmazásban álló szellemi foglalkozásúak átlagos állományi létszáma (fő)</t>
  </si>
  <si>
    <t>Havi átlagban 60 munkaóránál rövidebb munkaidőben foglalkoztatottak átlagos állományi létszáma (fő)</t>
  </si>
  <si>
    <t>Munkaszerződés szerint havi 60 óránál rövidebb munkaidőben alkalmazásban álló fizikai foglalkozásúak átlagos állományi létszáma, fő)</t>
  </si>
  <si>
    <t>Munkaszerződés szerint havi 60 óránál rövidebb munkaidőben alkalmazásban álló szellemi foglalkozásúak átlagos állományi létszáma, fő</t>
  </si>
  <si>
    <t>Munkaszerződés szerint havi 60 óránál rövidebb munkaidőben alkalmazásban álló nem meghatározható foglalkozásúak átlagos állományi létszáma, fő</t>
  </si>
  <si>
    <t>Teljes munkaidőben alkalmazásban álló nem meghatározható foglalkozásúak átlagos állományi létszáma (fő)</t>
  </si>
  <si>
    <t>Nem teljes munkaidőben (de legalább havi 60 munkaórában) alkalmazásban álló nem meghatározható foglalkozásúak átlagos állományi létszáma (fő)</t>
  </si>
  <si>
    <t>row sum</t>
  </si>
  <si>
    <t>teáor sum</t>
  </si>
  <si>
    <t>teáor ratio</t>
  </si>
  <si>
    <t>01== Növénytermesztés, állattenyésztés, vadgazdálkodás és kapcsolódó szolgáltatások</t>
  </si>
  <si>
    <t>02== Erdőgazdálkodás</t>
  </si>
  <si>
    <t>03== Halászat, halgazdálkodás</t>
  </si>
  <si>
    <t>05== Szénbányászat</t>
  </si>
  <si>
    <t>06== Kőolaj-, földgázkitermelés</t>
  </si>
  <si>
    <t>07== Fémtartalmú érc bányászata</t>
  </si>
  <si>
    <t>08== Egyéb bányászat</t>
  </si>
  <si>
    <t>09== Bányászati szolgáltatás</t>
  </si>
  <si>
    <t>10== Élelmiszergyártás</t>
  </si>
  <si>
    <t>11== Italgyártás</t>
  </si>
  <si>
    <t>12== Dohánytermék gyártása</t>
  </si>
  <si>
    <t>13== Textília gyártása</t>
  </si>
  <si>
    <t>14== Ruházati termék gyártása</t>
  </si>
  <si>
    <t>15== Bőr, bőrtermék, lábbeli gyártása</t>
  </si>
  <si>
    <t>16== Fafeldolgozás (kivéve: bútor), fonottáru gyártása</t>
  </si>
  <si>
    <t>17== Papír, papírtermék gyártása</t>
  </si>
  <si>
    <t>18== Nyomdai és egyéb sokszorosítási tevékenység</t>
  </si>
  <si>
    <t>19== Kokszgyártás, kőolaj-feldolgozás</t>
  </si>
  <si>
    <t>20== Vegyi anyag, -termék gyártása</t>
  </si>
  <si>
    <t>21== Gyógyszergyártás</t>
  </si>
  <si>
    <t>22== Gumi-, műanyag termék gyártása</t>
  </si>
  <si>
    <t>23== Nemfém ásványi termék gyártása</t>
  </si>
  <si>
    <t>24== Fémalapanyag gyártása</t>
  </si>
  <si>
    <t>25== Fémfeldolgozási termék gyártása</t>
  </si>
  <si>
    <t>26== Számítógép, elektronikai, optikai termék gyártása</t>
  </si>
  <si>
    <t>27== Villamos berendezés gyártása</t>
  </si>
  <si>
    <t>28== Gép, gépi berendezés gyártása</t>
  </si>
  <si>
    <t>29== Közúti jármű gyártása</t>
  </si>
  <si>
    <t>30== Egyéb jármű gyártása</t>
  </si>
  <si>
    <t>31== Bútorgyártás</t>
  </si>
  <si>
    <t>32== Egyéb feldolgozóipari tevékenység</t>
  </si>
  <si>
    <t>33== Ipari gép, berendezés, eszköz javítása, üzembe helyezése</t>
  </si>
  <si>
    <t>35== Villamosenergia-, gáz-, gőzellátás, légkondicionálás</t>
  </si>
  <si>
    <t>36== Víztermelés, -kezelés, -ellátás</t>
  </si>
  <si>
    <t>37== Szennyvíz gyűjtése, kezelése</t>
  </si>
  <si>
    <t>38== Hulladékgazdálkodás</t>
  </si>
  <si>
    <t>39== Szennyeződésmentesítés, egyéb hulladékkezelés</t>
  </si>
  <si>
    <t>41== Épületek építése</t>
  </si>
  <si>
    <t>42== Egyéb építmény építése</t>
  </si>
  <si>
    <t>43== Speciális szaképítés</t>
  </si>
  <si>
    <t>45== Gépjármű-, motorkerékpár kereskedelme, javítása</t>
  </si>
  <si>
    <t>46== Nagykereskedelem (kivéve: jármű, motorkerékpár)</t>
  </si>
  <si>
    <t>47== Kiskereskedelem (kivéve: gépjármű, motorkerékpár)</t>
  </si>
  <si>
    <t>49== Szárazföldi, csővezetékes szállítás</t>
  </si>
  <si>
    <t>50== Vízi szállítás</t>
  </si>
  <si>
    <t>51== Légi szállítás</t>
  </si>
  <si>
    <t>52== Raktározás, szállítást kiegészítő tevékenység</t>
  </si>
  <si>
    <t>53== Postai, futárpostai tevékenység</t>
  </si>
  <si>
    <t>55== Szálláshely-szolgáltatás</t>
  </si>
  <si>
    <t>56== Vendéglátás</t>
  </si>
  <si>
    <t>58== Kiadói tevékenység</t>
  </si>
  <si>
    <t>59== Film, video, televízióműsor gyártása, hangfelvétel-kiadás</t>
  </si>
  <si>
    <t>60== Műsorösszeállítás, műsorszolgáltatás</t>
  </si>
  <si>
    <t>61== Távközlés</t>
  </si>
  <si>
    <t>62== Információ-technológiai szolgáltatás</t>
  </si>
  <si>
    <t>63== Információs szolgáltatás</t>
  </si>
  <si>
    <t>64== Pénzügyi közvetítés, kivéve: biztosítási, nyugdíjpénztári tevékenység</t>
  </si>
  <si>
    <t>65== Biztosítás, viszontbiztosítás, nyugdíjalapok (kivéve: kötelező társadalombiztosítás)</t>
  </si>
  <si>
    <t>66== Egyéb pénzügyi tevékenység</t>
  </si>
  <si>
    <t>68== Ingatlanügyletek</t>
  </si>
  <si>
    <t>69== Jogi, számviteli, adószakértői tevékenység</t>
  </si>
  <si>
    <t>70== Üzletvezetési, vezetői tanácsadás</t>
  </si>
  <si>
    <t>71== Mérnöki és építészmérnöki tevékenység; műszaki vizsgálat, elemzés</t>
  </si>
  <si>
    <t>72== Tudományos kutatás, fejlesztés</t>
  </si>
  <si>
    <t>73== Reklám, piackutatás</t>
  </si>
  <si>
    <t>74== Egyéb szakmai, tudományos, műszaki tevékenység</t>
  </si>
  <si>
    <t>75== Állat-egészségügyi ellátás</t>
  </si>
  <si>
    <t>77== Kölcsönzés, operatív lízing</t>
  </si>
  <si>
    <t>78== Munkaerőpiaci szolgáltatás</t>
  </si>
  <si>
    <t>79== Utazásközvetítés, utazásszervezés, egyéb foglalás</t>
  </si>
  <si>
    <t>80== Biztonsági, nyomozói tevékenység</t>
  </si>
  <si>
    <t>81== Építmény üzemeltetés, zöldterület-kezelés</t>
  </si>
  <si>
    <t>82== Adminisztratív-, kiegészítő egyéb üzleti szolgáltatás</t>
  </si>
  <si>
    <t>84== Közigazgatás, védelem; kötelező társadalombiztosítás</t>
  </si>
  <si>
    <t>85== Oktatás</t>
  </si>
  <si>
    <t>86== Humán-egészségügyi ellátás</t>
  </si>
  <si>
    <t>87== Bentlakásos, nem kórházi ápolás</t>
  </si>
  <si>
    <t>88== Szociális ellátás bentlakás nélkül</t>
  </si>
  <si>
    <t>90== Alkotó-, művészeti-, szórakoztató tevékenység</t>
  </si>
  <si>
    <t>91== Könyvtári, levéltári, múzeumi, egyéb kulturális tevékenység</t>
  </si>
  <si>
    <t>92== Szerencsejáték, fogadás</t>
  </si>
  <si>
    <t>93== Sport-, szórakoztató-, szabadidős tevékenység</t>
  </si>
  <si>
    <t>94== Érdekképviselet</t>
  </si>
  <si>
    <t>95== Számítógép, személyi-, háztartási cikk javítása</t>
  </si>
  <si>
    <t>96== Egyéb személyi szolgáltatás</t>
  </si>
  <si>
    <t>97== Háztartási alkalmazottat foglalkoztató magánháztartás</t>
  </si>
  <si>
    <t>98== Háztartás termék-előállítása, szolgáltatása saját fogyasztásra</t>
  </si>
  <si>
    <t>Módszertani változás(https://www.ksh.hu/sajtoszoba_kozlemenyek_tajekoztatok_2025_05_20)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</si>
</sst>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indexed="8"/>
      <name val="Calibri"/>
      <charset val="134"/>
      <scheme val="minor"/>
    </font>
    <font>
      <b/>
      <sz val="18"/>
      <name val="Calibri"/>
      <charset val="134"/>
    </font>
    <font>
      <b/>
      <sz val="12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10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 applyProtection="1">
      <protection locked="0"/>
    </xf>
    <xf numFmtId="0" fontId="5" fillId="3" borderId="1" xfId="0" applyFont="1" applyFill="1" applyBorder="1" applyAlignment="1">
      <alignment vertical="center" wrapText="1"/>
    </xf>
    <xf numFmtId="0" fontId="0" fillId="0" borderId="1" xfId="0" applyFont="1" applyBorder="1" applyAlignment="1"/>
    <xf numFmtId="0" fontId="0" fillId="0" borderId="3" xfId="0" applyNumberFormat="1" applyFont="1" applyFill="1" applyBorder="1" applyAlignment="1" applyProtection="1">
      <protection locked="0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"/>
  <sheetViews>
    <sheetView tabSelected="1" topLeftCell="G1" workbookViewId="0">
      <selection activeCell="M4" sqref="M4"/>
    </sheetView>
  </sheetViews>
  <sheetFormatPr defaultColWidth="9" defaultRowHeight="14.4"/>
  <cols>
    <col min="1" max="11" width="31.25" customWidth="1"/>
    <col min="14" max="14" width="12.8888888888889"/>
  </cols>
  <sheetData>
    <row r="1" ht="23.4" spans="1:1">
      <c r="A1" s="1" t="s">
        <v>0</v>
      </c>
    </row>
    <row r="2" ht="15.6" spans="1:1">
      <c r="A2" s="2" t="s">
        <v>1</v>
      </c>
    </row>
    <row r="4" spans="1:1">
      <c r="A4" s="3" t="s">
        <v>2</v>
      </c>
    </row>
    <row r="6" spans="2:11">
      <c r="B6" s="4" t="s">
        <v>3</v>
      </c>
      <c r="C6" s="5"/>
      <c r="D6" s="5"/>
      <c r="E6" s="5"/>
      <c r="F6" s="5"/>
      <c r="G6" s="5"/>
      <c r="H6" s="5"/>
      <c r="I6" s="5"/>
      <c r="J6" s="5"/>
      <c r="K6" s="8"/>
    </row>
    <row r="7" ht="75" spans="1:14">
      <c r="A7" s="4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9" t="s">
        <v>15</v>
      </c>
      <c r="M7" s="9" t="s">
        <v>16</v>
      </c>
      <c r="N7" s="9" t="s">
        <v>17</v>
      </c>
    </row>
    <row r="8" ht="45" spans="1:14">
      <c r="A8" s="6" t="s">
        <v>18</v>
      </c>
      <c r="B8" s="7">
        <v>50186</v>
      </c>
      <c r="C8" s="7">
        <v>14307</v>
      </c>
      <c r="D8" s="7">
        <v>6547</v>
      </c>
      <c r="E8" s="7">
        <v>2797</v>
      </c>
      <c r="F8" s="7">
        <v>2705</v>
      </c>
      <c r="G8" s="7">
        <v>1464</v>
      </c>
      <c r="H8" s="7">
        <v>1240</v>
      </c>
      <c r="I8" s="7">
        <v>1</v>
      </c>
      <c r="J8" s="7">
        <v>63</v>
      </c>
      <c r="K8" s="7">
        <v>5489</v>
      </c>
      <c r="L8" s="10">
        <f>SUM(B8:K8)</f>
        <v>84799</v>
      </c>
      <c r="M8" s="11">
        <f>SUM(L8:L10)</f>
        <v>96512</v>
      </c>
      <c r="N8">
        <f>L8/$M$8</f>
        <v>0.878636853448276</v>
      </c>
    </row>
    <row r="9" ht="15" spans="1:14">
      <c r="A9" s="6" t="s">
        <v>19</v>
      </c>
      <c r="B9" s="7">
        <v>5111</v>
      </c>
      <c r="C9" s="7">
        <v>3372</v>
      </c>
      <c r="D9" s="7">
        <v>927</v>
      </c>
      <c r="E9" s="7">
        <v>230</v>
      </c>
      <c r="F9" s="7">
        <v>312</v>
      </c>
      <c r="G9" s="7">
        <v>208</v>
      </c>
      <c r="H9" s="7">
        <v>104</v>
      </c>
      <c r="I9" s="7"/>
      <c r="J9" s="7">
        <v>3</v>
      </c>
      <c r="K9" s="7">
        <v>294</v>
      </c>
      <c r="L9" s="10">
        <f t="shared" ref="L9:L40" si="0">SUM(B9:K9)</f>
        <v>10561</v>
      </c>
      <c r="M9" s="12"/>
      <c r="N9">
        <f>L9/$M$8</f>
        <v>0.109426807029178</v>
      </c>
    </row>
    <row r="10" ht="15" spans="1:14">
      <c r="A10" s="6" t="s">
        <v>20</v>
      </c>
      <c r="B10" s="7">
        <v>708</v>
      </c>
      <c r="C10" s="7">
        <v>170</v>
      </c>
      <c r="D10" s="7">
        <v>94</v>
      </c>
      <c r="E10" s="7">
        <v>44</v>
      </c>
      <c r="F10" s="7">
        <v>52</v>
      </c>
      <c r="G10" s="7">
        <v>32</v>
      </c>
      <c r="H10" s="7">
        <v>20</v>
      </c>
      <c r="I10" s="7"/>
      <c r="J10" s="7"/>
      <c r="K10" s="7">
        <v>32</v>
      </c>
      <c r="L10" s="10">
        <f t="shared" si="0"/>
        <v>1152</v>
      </c>
      <c r="M10" s="12"/>
      <c r="N10">
        <f>L10/$M$8</f>
        <v>0.0119363395225464</v>
      </c>
    </row>
    <row r="11" ht="15" spans="1:14">
      <c r="A11" s="6" t="s">
        <v>21</v>
      </c>
      <c r="B11" s="7">
        <v>35</v>
      </c>
      <c r="C11" s="7">
        <v>17</v>
      </c>
      <c r="D11" s="7">
        <v>4</v>
      </c>
      <c r="E11" s="7">
        <v>0</v>
      </c>
      <c r="F11" s="7">
        <v>1</v>
      </c>
      <c r="G11" s="7"/>
      <c r="H11" s="7">
        <v>1</v>
      </c>
      <c r="I11" s="7"/>
      <c r="J11" s="7"/>
      <c r="K11" s="7"/>
      <c r="L11" s="10">
        <f t="shared" si="0"/>
        <v>58</v>
      </c>
      <c r="M11" s="13">
        <f>SUM(L11:L15)</f>
        <v>4338</v>
      </c>
      <c r="N11">
        <f>L11/$M$11</f>
        <v>0.0133702166897188</v>
      </c>
    </row>
    <row r="12" ht="15" spans="1:14">
      <c r="A12" s="6" t="s">
        <v>22</v>
      </c>
      <c r="B12" s="7"/>
      <c r="C12" s="7">
        <v>1</v>
      </c>
      <c r="D12" s="7"/>
      <c r="E12" s="7">
        <v>2</v>
      </c>
      <c r="F12" s="7"/>
      <c r="G12" s="7"/>
      <c r="H12" s="7"/>
      <c r="I12" s="7"/>
      <c r="J12" s="7"/>
      <c r="K12" s="7"/>
      <c r="L12" s="10">
        <f t="shared" si="0"/>
        <v>3</v>
      </c>
      <c r="M12" s="14"/>
      <c r="N12">
        <f>L12/$M$11</f>
        <v>0.000691562932226833</v>
      </c>
    </row>
    <row r="13" ht="30" spans="1:14">
      <c r="A13" s="6" t="s">
        <v>23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10">
        <f t="shared" si="0"/>
        <v>0</v>
      </c>
      <c r="M13" s="14"/>
      <c r="N13">
        <f>L13/$M$11</f>
        <v>0</v>
      </c>
    </row>
    <row r="14" ht="15" spans="1:14">
      <c r="A14" s="6" t="s">
        <v>24</v>
      </c>
      <c r="B14" s="7">
        <v>1923</v>
      </c>
      <c r="C14" s="7">
        <v>723</v>
      </c>
      <c r="D14" s="7">
        <v>84</v>
      </c>
      <c r="E14" s="7">
        <v>98</v>
      </c>
      <c r="F14" s="7">
        <v>62</v>
      </c>
      <c r="G14" s="7">
        <v>15</v>
      </c>
      <c r="H14" s="7">
        <v>47</v>
      </c>
      <c r="I14" s="7"/>
      <c r="J14" s="7"/>
      <c r="K14" s="7">
        <v>3</v>
      </c>
      <c r="L14" s="10">
        <f t="shared" si="0"/>
        <v>2955</v>
      </c>
      <c r="M14" s="14"/>
      <c r="N14">
        <f>L14/$M$11</f>
        <v>0.68118948824343</v>
      </c>
    </row>
    <row r="15" ht="15" spans="1:14">
      <c r="A15" s="6" t="s">
        <v>25</v>
      </c>
      <c r="B15" s="7">
        <v>767</v>
      </c>
      <c r="C15" s="7">
        <v>427</v>
      </c>
      <c r="D15" s="7">
        <v>19</v>
      </c>
      <c r="E15" s="7">
        <v>72</v>
      </c>
      <c r="F15" s="7">
        <v>18</v>
      </c>
      <c r="G15" s="7">
        <v>5</v>
      </c>
      <c r="H15" s="7">
        <v>14</v>
      </c>
      <c r="I15" s="7"/>
      <c r="J15" s="7">
        <v>0</v>
      </c>
      <c r="K15" s="7"/>
      <c r="L15" s="10">
        <f t="shared" si="0"/>
        <v>1322</v>
      </c>
      <c r="M15" s="14"/>
      <c r="N15">
        <f>L15/$M$11</f>
        <v>0.304748732134624</v>
      </c>
    </row>
    <row r="16" ht="15" spans="1:14">
      <c r="A16" s="6" t="s">
        <v>26</v>
      </c>
      <c r="B16" s="7">
        <v>58764</v>
      </c>
      <c r="C16" s="7">
        <v>18921</v>
      </c>
      <c r="D16" s="7">
        <v>8378</v>
      </c>
      <c r="E16" s="7">
        <v>1750</v>
      </c>
      <c r="F16" s="7">
        <v>1449</v>
      </c>
      <c r="G16" s="7">
        <v>1099</v>
      </c>
      <c r="H16" s="7">
        <v>348</v>
      </c>
      <c r="I16" s="7">
        <v>1</v>
      </c>
      <c r="J16" s="7">
        <v>23</v>
      </c>
      <c r="K16" s="7">
        <v>463</v>
      </c>
      <c r="L16" s="10">
        <f t="shared" si="0"/>
        <v>91196</v>
      </c>
      <c r="M16" s="11">
        <f>SUM(L16:L39)</f>
        <v>757223</v>
      </c>
      <c r="N16">
        <f>L16/$M$16</f>
        <v>0.120434799259927</v>
      </c>
    </row>
    <row r="17" ht="15" spans="1:14">
      <c r="A17" s="6" t="s">
        <v>27</v>
      </c>
      <c r="B17" s="7">
        <v>5707</v>
      </c>
      <c r="C17" s="7">
        <v>5074</v>
      </c>
      <c r="D17" s="7">
        <v>828</v>
      </c>
      <c r="E17" s="7">
        <v>425</v>
      </c>
      <c r="F17" s="7">
        <v>313</v>
      </c>
      <c r="G17" s="7">
        <v>206</v>
      </c>
      <c r="H17" s="7">
        <v>108</v>
      </c>
      <c r="I17" s="7"/>
      <c r="J17" s="7">
        <v>5</v>
      </c>
      <c r="K17" s="7">
        <v>337</v>
      </c>
      <c r="L17" s="10">
        <f t="shared" si="0"/>
        <v>13003</v>
      </c>
      <c r="M17" s="12"/>
      <c r="N17">
        <f t="shared" ref="N17:N39" si="1">L17/$M$16</f>
        <v>0.0171719559495684</v>
      </c>
    </row>
    <row r="18" ht="15" spans="1:14">
      <c r="A18" s="6" t="s">
        <v>28</v>
      </c>
      <c r="B18" s="7">
        <v>871</v>
      </c>
      <c r="C18" s="7">
        <v>456</v>
      </c>
      <c r="D18" s="7">
        <v>25</v>
      </c>
      <c r="E18" s="7">
        <v>10</v>
      </c>
      <c r="F18" s="7">
        <v>2</v>
      </c>
      <c r="G18" s="7"/>
      <c r="H18" s="7">
        <v>2</v>
      </c>
      <c r="I18" s="7"/>
      <c r="J18" s="7"/>
      <c r="K18" s="7"/>
      <c r="L18" s="10">
        <f t="shared" si="0"/>
        <v>1366</v>
      </c>
      <c r="M18" s="12"/>
      <c r="N18">
        <f t="shared" si="1"/>
        <v>0.00180395999593251</v>
      </c>
    </row>
    <row r="19" ht="15" spans="1:14">
      <c r="A19" s="6" t="s">
        <v>29</v>
      </c>
      <c r="B19" s="7">
        <v>5300</v>
      </c>
      <c r="C19" s="7">
        <v>1628</v>
      </c>
      <c r="D19" s="7">
        <v>817</v>
      </c>
      <c r="E19" s="7">
        <v>223</v>
      </c>
      <c r="F19" s="7">
        <v>151</v>
      </c>
      <c r="G19" s="7">
        <v>86</v>
      </c>
      <c r="H19" s="7">
        <v>65</v>
      </c>
      <c r="I19" s="7"/>
      <c r="J19" s="7"/>
      <c r="K19" s="7">
        <v>3</v>
      </c>
      <c r="L19" s="10">
        <f t="shared" si="0"/>
        <v>8273</v>
      </c>
      <c r="M19" s="12"/>
      <c r="N19">
        <f t="shared" si="1"/>
        <v>0.0109254473252925</v>
      </c>
    </row>
    <row r="20" ht="15" spans="1:14">
      <c r="A20" s="6" t="s">
        <v>30</v>
      </c>
      <c r="B20" s="7">
        <v>7893</v>
      </c>
      <c r="C20" s="7">
        <v>1843</v>
      </c>
      <c r="D20" s="7">
        <v>7280</v>
      </c>
      <c r="E20" s="7">
        <v>731</v>
      </c>
      <c r="F20" s="7">
        <v>392</v>
      </c>
      <c r="G20" s="7">
        <v>245</v>
      </c>
      <c r="H20" s="7">
        <v>147</v>
      </c>
      <c r="I20" s="7"/>
      <c r="J20" s="7">
        <v>1</v>
      </c>
      <c r="K20" s="7">
        <v>15</v>
      </c>
      <c r="L20" s="10">
        <f t="shared" si="0"/>
        <v>18547</v>
      </c>
      <c r="M20" s="12"/>
      <c r="N20">
        <f t="shared" si="1"/>
        <v>0.0244934451277893</v>
      </c>
    </row>
    <row r="21" ht="30" spans="1:14">
      <c r="A21" s="6" t="s">
        <v>31</v>
      </c>
      <c r="B21" s="7">
        <v>6444</v>
      </c>
      <c r="C21" s="7">
        <v>1193</v>
      </c>
      <c r="D21" s="7">
        <v>567</v>
      </c>
      <c r="E21" s="7">
        <v>95</v>
      </c>
      <c r="F21" s="7">
        <v>68</v>
      </c>
      <c r="G21" s="7">
        <v>45</v>
      </c>
      <c r="H21" s="7">
        <v>24</v>
      </c>
      <c r="I21" s="7"/>
      <c r="J21" s="7"/>
      <c r="K21" s="7">
        <v>4</v>
      </c>
      <c r="L21" s="10">
        <f t="shared" si="0"/>
        <v>8440</v>
      </c>
      <c r="M21" s="12"/>
      <c r="N21">
        <f t="shared" si="1"/>
        <v>0.0111459900187924</v>
      </c>
    </row>
    <row r="22" ht="30" spans="1:14">
      <c r="A22" s="6" t="s">
        <v>32</v>
      </c>
      <c r="B22" s="7">
        <v>11311</v>
      </c>
      <c r="C22" s="7">
        <v>2699</v>
      </c>
      <c r="D22" s="7">
        <v>1493</v>
      </c>
      <c r="E22" s="7">
        <v>436</v>
      </c>
      <c r="F22" s="7">
        <v>378</v>
      </c>
      <c r="G22" s="7">
        <v>252</v>
      </c>
      <c r="H22" s="7">
        <v>126</v>
      </c>
      <c r="I22" s="7"/>
      <c r="J22" s="7">
        <v>3</v>
      </c>
      <c r="K22" s="7">
        <v>51</v>
      </c>
      <c r="L22" s="10">
        <f t="shared" si="0"/>
        <v>16749</v>
      </c>
      <c r="M22" s="12"/>
      <c r="N22">
        <f t="shared" si="1"/>
        <v>0.0221189794816058</v>
      </c>
    </row>
    <row r="23" ht="30" spans="1:14">
      <c r="A23" s="6" t="s">
        <v>33</v>
      </c>
      <c r="B23" s="7">
        <v>9148</v>
      </c>
      <c r="C23" s="7">
        <v>3744</v>
      </c>
      <c r="D23" s="7">
        <v>4897</v>
      </c>
      <c r="E23" s="7">
        <v>537</v>
      </c>
      <c r="F23" s="7">
        <v>167</v>
      </c>
      <c r="G23" s="7">
        <v>46</v>
      </c>
      <c r="H23" s="7">
        <v>121</v>
      </c>
      <c r="I23" s="7"/>
      <c r="J23" s="7">
        <v>0</v>
      </c>
      <c r="K23" s="7">
        <v>3</v>
      </c>
      <c r="L23" s="10">
        <f t="shared" si="0"/>
        <v>18663</v>
      </c>
      <c r="M23" s="12"/>
      <c r="N23">
        <f t="shared" si="1"/>
        <v>0.0246466364598011</v>
      </c>
    </row>
    <row r="24" ht="30" spans="1:14">
      <c r="A24" s="6" t="s">
        <v>34</v>
      </c>
      <c r="B24" s="7">
        <v>7397</v>
      </c>
      <c r="C24" s="7">
        <v>3992</v>
      </c>
      <c r="D24" s="7">
        <v>3724</v>
      </c>
      <c r="E24" s="7">
        <v>798</v>
      </c>
      <c r="F24" s="7">
        <v>452</v>
      </c>
      <c r="G24" s="7">
        <v>187</v>
      </c>
      <c r="H24" s="7">
        <v>264</v>
      </c>
      <c r="I24" s="7">
        <v>1</v>
      </c>
      <c r="J24" s="7">
        <v>2</v>
      </c>
      <c r="K24" s="7">
        <v>6</v>
      </c>
      <c r="L24" s="10">
        <f t="shared" si="0"/>
        <v>16823</v>
      </c>
      <c r="M24" s="12"/>
      <c r="N24">
        <f t="shared" si="1"/>
        <v>0.0222167049865099</v>
      </c>
    </row>
    <row r="25" ht="30" spans="1:14">
      <c r="A25" s="6" t="s">
        <v>35</v>
      </c>
      <c r="B25" s="7">
        <v>2589</v>
      </c>
      <c r="C25" s="7">
        <v>2835</v>
      </c>
      <c r="D25" s="7">
        <v>4</v>
      </c>
      <c r="E25" s="7">
        <v>63</v>
      </c>
      <c r="F25" s="7">
        <v>10</v>
      </c>
      <c r="G25" s="7"/>
      <c r="H25" s="7">
        <v>10</v>
      </c>
      <c r="I25" s="7"/>
      <c r="J25" s="7"/>
      <c r="K25" s="7"/>
      <c r="L25" s="10">
        <f t="shared" si="0"/>
        <v>5511</v>
      </c>
      <c r="M25" s="12"/>
      <c r="N25">
        <f t="shared" si="1"/>
        <v>0.00727790888549344</v>
      </c>
    </row>
    <row r="26" ht="30" spans="1:14">
      <c r="A26" s="6" t="s">
        <v>36</v>
      </c>
      <c r="B26" s="7">
        <v>9169</v>
      </c>
      <c r="C26" s="7">
        <v>7000</v>
      </c>
      <c r="D26" s="7">
        <v>332</v>
      </c>
      <c r="E26" s="7">
        <v>369</v>
      </c>
      <c r="F26" s="7">
        <v>143</v>
      </c>
      <c r="G26" s="7">
        <v>28</v>
      </c>
      <c r="H26" s="7">
        <v>114</v>
      </c>
      <c r="I26" s="7"/>
      <c r="J26" s="7">
        <v>1</v>
      </c>
      <c r="K26" s="7">
        <v>5</v>
      </c>
      <c r="L26" s="10">
        <f t="shared" si="0"/>
        <v>17161</v>
      </c>
      <c r="M26" s="12"/>
      <c r="N26">
        <f t="shared" si="1"/>
        <v>0.0226630728332341</v>
      </c>
    </row>
    <row r="27" ht="15" spans="1:14">
      <c r="A27" s="6" t="s">
        <v>37</v>
      </c>
      <c r="B27" s="7">
        <v>6063</v>
      </c>
      <c r="C27" s="7">
        <v>11813</v>
      </c>
      <c r="D27" s="7">
        <v>82</v>
      </c>
      <c r="E27" s="7">
        <v>575</v>
      </c>
      <c r="F27" s="7">
        <v>37</v>
      </c>
      <c r="G27" s="7"/>
      <c r="H27" s="7">
        <v>36</v>
      </c>
      <c r="I27" s="7">
        <v>1</v>
      </c>
      <c r="J27" s="7">
        <v>10</v>
      </c>
      <c r="K27" s="7">
        <v>2</v>
      </c>
      <c r="L27" s="10">
        <f t="shared" si="0"/>
        <v>18619</v>
      </c>
      <c r="M27" s="12"/>
      <c r="N27">
        <f t="shared" si="1"/>
        <v>0.0245885294028311</v>
      </c>
    </row>
    <row r="28" ht="30" spans="1:14">
      <c r="A28" s="6" t="s">
        <v>38</v>
      </c>
      <c r="B28" s="7">
        <v>39570</v>
      </c>
      <c r="C28" s="7">
        <v>14167</v>
      </c>
      <c r="D28" s="7">
        <v>1860</v>
      </c>
      <c r="E28" s="7">
        <v>996</v>
      </c>
      <c r="F28" s="7">
        <v>297</v>
      </c>
      <c r="G28" s="7">
        <v>140</v>
      </c>
      <c r="H28" s="7">
        <v>157</v>
      </c>
      <c r="I28" s="7"/>
      <c r="J28" s="7">
        <v>2</v>
      </c>
      <c r="K28" s="7">
        <v>42</v>
      </c>
      <c r="L28" s="10">
        <f t="shared" si="0"/>
        <v>57231</v>
      </c>
      <c r="M28" s="12"/>
      <c r="N28">
        <f t="shared" si="1"/>
        <v>0.075580113123875</v>
      </c>
    </row>
    <row r="29" ht="30" spans="1:14">
      <c r="A29" s="6" t="s">
        <v>39</v>
      </c>
      <c r="B29" s="7">
        <v>16798</v>
      </c>
      <c r="C29" s="7">
        <v>7067</v>
      </c>
      <c r="D29" s="7">
        <v>1154</v>
      </c>
      <c r="E29" s="7">
        <v>530</v>
      </c>
      <c r="F29" s="7">
        <v>310</v>
      </c>
      <c r="G29" s="7">
        <v>171</v>
      </c>
      <c r="H29" s="7">
        <v>139</v>
      </c>
      <c r="I29" s="7"/>
      <c r="J29" s="7">
        <v>0</v>
      </c>
      <c r="K29" s="7">
        <v>18</v>
      </c>
      <c r="L29" s="10">
        <f t="shared" si="0"/>
        <v>26187</v>
      </c>
      <c r="M29" s="12"/>
      <c r="N29">
        <f t="shared" si="1"/>
        <v>0.0345829432016724</v>
      </c>
    </row>
    <row r="30" ht="15" spans="1:14">
      <c r="A30" s="6" t="s">
        <v>40</v>
      </c>
      <c r="B30" s="7">
        <v>10667</v>
      </c>
      <c r="C30" s="7">
        <v>4847</v>
      </c>
      <c r="D30" s="7">
        <v>368</v>
      </c>
      <c r="E30" s="7">
        <v>199</v>
      </c>
      <c r="F30" s="7">
        <v>44</v>
      </c>
      <c r="G30" s="7">
        <v>28</v>
      </c>
      <c r="H30" s="7">
        <v>16</v>
      </c>
      <c r="I30" s="7"/>
      <c r="J30" s="7">
        <v>1</v>
      </c>
      <c r="K30" s="7">
        <v>2</v>
      </c>
      <c r="L30" s="10">
        <f t="shared" si="0"/>
        <v>16172</v>
      </c>
      <c r="M30" s="12"/>
      <c r="N30">
        <f t="shared" si="1"/>
        <v>0.02135698466634</v>
      </c>
    </row>
    <row r="31" ht="30" spans="1:14">
      <c r="A31" s="6" t="s">
        <v>41</v>
      </c>
      <c r="B31" s="7">
        <v>55671</v>
      </c>
      <c r="C31" s="7">
        <v>18961</v>
      </c>
      <c r="D31" s="7">
        <v>4434</v>
      </c>
      <c r="E31" s="7">
        <v>2179</v>
      </c>
      <c r="F31" s="7">
        <v>1268</v>
      </c>
      <c r="G31" s="7">
        <v>787</v>
      </c>
      <c r="H31" s="7">
        <v>480</v>
      </c>
      <c r="I31" s="7">
        <v>1</v>
      </c>
      <c r="J31" s="7">
        <v>11</v>
      </c>
      <c r="K31" s="7">
        <v>262</v>
      </c>
      <c r="L31" s="10">
        <f t="shared" si="0"/>
        <v>84054</v>
      </c>
      <c r="M31" s="12"/>
      <c r="N31">
        <f t="shared" si="1"/>
        <v>0.11100296742175</v>
      </c>
    </row>
    <row r="32" ht="30" spans="1:14">
      <c r="A32" s="6" t="s">
        <v>42</v>
      </c>
      <c r="B32" s="7">
        <v>26270</v>
      </c>
      <c r="C32" s="7">
        <v>20088</v>
      </c>
      <c r="D32" s="7">
        <v>824</v>
      </c>
      <c r="E32" s="7">
        <v>857</v>
      </c>
      <c r="F32" s="7">
        <v>215</v>
      </c>
      <c r="G32" s="7">
        <v>80</v>
      </c>
      <c r="H32" s="7">
        <v>133</v>
      </c>
      <c r="I32" s="7">
        <v>2</v>
      </c>
      <c r="J32" s="7">
        <v>1</v>
      </c>
      <c r="K32" s="7">
        <v>11</v>
      </c>
      <c r="L32" s="10">
        <f t="shared" si="0"/>
        <v>48481</v>
      </c>
      <c r="M32" s="12"/>
      <c r="N32">
        <f t="shared" si="1"/>
        <v>0.0640247324764303</v>
      </c>
    </row>
    <row r="33" ht="30" spans="1:14">
      <c r="A33" s="6" t="s">
        <v>43</v>
      </c>
      <c r="B33" s="7">
        <v>35800</v>
      </c>
      <c r="C33" s="7">
        <v>16096</v>
      </c>
      <c r="D33" s="7">
        <v>2069</v>
      </c>
      <c r="E33" s="7">
        <v>613</v>
      </c>
      <c r="F33" s="7">
        <v>133</v>
      </c>
      <c r="G33" s="7">
        <v>50</v>
      </c>
      <c r="H33" s="7">
        <v>83</v>
      </c>
      <c r="I33" s="7">
        <v>0</v>
      </c>
      <c r="J33" s="7">
        <v>0</v>
      </c>
      <c r="K33" s="7">
        <v>18</v>
      </c>
      <c r="L33" s="10">
        <f t="shared" si="0"/>
        <v>54862</v>
      </c>
      <c r="M33" s="12"/>
      <c r="N33">
        <f t="shared" si="1"/>
        <v>0.0724515763520125</v>
      </c>
    </row>
    <row r="34" ht="30" spans="1:14">
      <c r="A34" s="6" t="s">
        <v>44</v>
      </c>
      <c r="B34" s="7">
        <v>38395</v>
      </c>
      <c r="C34" s="7">
        <v>19143</v>
      </c>
      <c r="D34" s="7">
        <v>1979</v>
      </c>
      <c r="E34" s="7">
        <v>1227</v>
      </c>
      <c r="F34" s="7">
        <v>305</v>
      </c>
      <c r="G34" s="7">
        <v>108</v>
      </c>
      <c r="H34" s="7">
        <v>197</v>
      </c>
      <c r="I34" s="7">
        <v>1</v>
      </c>
      <c r="J34" s="7">
        <v>6</v>
      </c>
      <c r="K34" s="7">
        <v>71</v>
      </c>
      <c r="L34" s="10">
        <f t="shared" si="0"/>
        <v>61432</v>
      </c>
      <c r="M34" s="12"/>
      <c r="N34">
        <f t="shared" si="1"/>
        <v>0.0811280164495796</v>
      </c>
    </row>
    <row r="35" ht="15" spans="1:14">
      <c r="A35" s="6" t="s">
        <v>45</v>
      </c>
      <c r="B35" s="7">
        <v>65317</v>
      </c>
      <c r="C35" s="7">
        <v>31584</v>
      </c>
      <c r="D35" s="7">
        <v>1468</v>
      </c>
      <c r="E35" s="7">
        <v>885</v>
      </c>
      <c r="F35" s="7">
        <v>154</v>
      </c>
      <c r="G35" s="7">
        <v>82</v>
      </c>
      <c r="H35" s="7">
        <v>73</v>
      </c>
      <c r="I35" s="7"/>
      <c r="J35" s="7">
        <v>5</v>
      </c>
      <c r="K35" s="7">
        <v>45</v>
      </c>
      <c r="L35" s="10">
        <f t="shared" si="0"/>
        <v>99613</v>
      </c>
      <c r="M35" s="12"/>
      <c r="N35">
        <f t="shared" si="1"/>
        <v>0.131550415135304</v>
      </c>
    </row>
    <row r="36" ht="15" spans="1:14">
      <c r="A36" s="6" t="s">
        <v>46</v>
      </c>
      <c r="B36" s="7">
        <v>6199</v>
      </c>
      <c r="C36" s="7">
        <v>3115</v>
      </c>
      <c r="D36" s="7">
        <v>121</v>
      </c>
      <c r="E36" s="7">
        <v>117</v>
      </c>
      <c r="F36" s="7">
        <v>43</v>
      </c>
      <c r="G36" s="7">
        <v>16</v>
      </c>
      <c r="H36" s="7">
        <v>27</v>
      </c>
      <c r="I36" s="7"/>
      <c r="J36" s="7">
        <v>5</v>
      </c>
      <c r="K36" s="7">
        <v>28</v>
      </c>
      <c r="L36" s="10">
        <f t="shared" si="0"/>
        <v>9671</v>
      </c>
      <c r="M36" s="12"/>
      <c r="N36">
        <f t="shared" si="1"/>
        <v>0.0127716669990214</v>
      </c>
    </row>
    <row r="37" ht="15" spans="1:14">
      <c r="A37" s="6" t="s">
        <v>47</v>
      </c>
      <c r="B37" s="7">
        <v>12282</v>
      </c>
      <c r="C37" s="7">
        <v>3332</v>
      </c>
      <c r="D37" s="7">
        <v>1679</v>
      </c>
      <c r="E37" s="7">
        <v>430</v>
      </c>
      <c r="F37" s="7">
        <v>357</v>
      </c>
      <c r="G37" s="7">
        <v>228</v>
      </c>
      <c r="H37" s="7">
        <v>129</v>
      </c>
      <c r="I37" s="7">
        <v>1</v>
      </c>
      <c r="J37" s="7">
        <v>1</v>
      </c>
      <c r="K37" s="7">
        <v>62</v>
      </c>
      <c r="L37" s="10">
        <f t="shared" si="0"/>
        <v>18501</v>
      </c>
      <c r="M37" s="12"/>
      <c r="N37">
        <f t="shared" si="1"/>
        <v>0.024432696840957</v>
      </c>
    </row>
    <row r="38" ht="30" spans="1:14">
      <c r="A38" s="6" t="s">
        <v>48</v>
      </c>
      <c r="B38" s="7">
        <v>12646</v>
      </c>
      <c r="C38" s="7">
        <v>7222</v>
      </c>
      <c r="D38" s="7">
        <v>1883</v>
      </c>
      <c r="E38" s="7">
        <v>1074</v>
      </c>
      <c r="F38" s="7">
        <v>446</v>
      </c>
      <c r="G38" s="7">
        <v>214</v>
      </c>
      <c r="H38" s="7">
        <v>231</v>
      </c>
      <c r="I38" s="7">
        <v>1</v>
      </c>
      <c r="J38" s="7">
        <v>3</v>
      </c>
      <c r="K38" s="7">
        <v>71</v>
      </c>
      <c r="L38" s="10">
        <f t="shared" si="0"/>
        <v>23791</v>
      </c>
      <c r="M38" s="12"/>
      <c r="N38">
        <f t="shared" si="1"/>
        <v>0.0314187498266693</v>
      </c>
    </row>
    <row r="39" ht="45" spans="1:14">
      <c r="A39" s="6" t="s">
        <v>49</v>
      </c>
      <c r="B39" s="7">
        <v>11437</v>
      </c>
      <c r="C39" s="7">
        <v>8223</v>
      </c>
      <c r="D39" s="7">
        <v>1149</v>
      </c>
      <c r="E39" s="7">
        <v>888</v>
      </c>
      <c r="F39" s="7">
        <v>567</v>
      </c>
      <c r="G39" s="7">
        <v>316</v>
      </c>
      <c r="H39" s="7">
        <v>251</v>
      </c>
      <c r="I39" s="7"/>
      <c r="J39" s="7">
        <v>9</v>
      </c>
      <c r="K39" s="7">
        <v>37</v>
      </c>
      <c r="L39" s="10">
        <f t="shared" si="0"/>
        <v>22877</v>
      </c>
      <c r="M39" s="12"/>
      <c r="N39">
        <f t="shared" si="1"/>
        <v>0.0302117077796105</v>
      </c>
    </row>
    <row r="40" ht="30" spans="1:14">
      <c r="A40" s="6" t="s">
        <v>50</v>
      </c>
      <c r="B40" s="7">
        <v>13090</v>
      </c>
      <c r="C40" s="7">
        <v>13330</v>
      </c>
      <c r="D40" s="7">
        <v>303</v>
      </c>
      <c r="E40" s="7">
        <v>425</v>
      </c>
      <c r="F40" s="7">
        <v>218</v>
      </c>
      <c r="G40" s="7">
        <v>47</v>
      </c>
      <c r="H40" s="7">
        <v>171</v>
      </c>
      <c r="I40" s="7"/>
      <c r="J40" s="7">
        <v>2</v>
      </c>
      <c r="K40" s="7">
        <v>7</v>
      </c>
      <c r="L40" s="10">
        <f t="shared" si="0"/>
        <v>27593</v>
      </c>
      <c r="M40" s="10">
        <v>27593</v>
      </c>
      <c r="N40">
        <f>L40/$M$40</f>
        <v>1</v>
      </c>
    </row>
    <row r="41" ht="30" spans="1:14">
      <c r="A41" s="6" t="s">
        <v>51</v>
      </c>
      <c r="B41" s="7">
        <v>9476</v>
      </c>
      <c r="C41" s="7">
        <v>5750</v>
      </c>
      <c r="D41" s="7">
        <v>180</v>
      </c>
      <c r="E41" s="7">
        <v>210</v>
      </c>
      <c r="F41" s="7">
        <v>45</v>
      </c>
      <c r="G41" s="7">
        <v>20</v>
      </c>
      <c r="H41" s="7">
        <v>25</v>
      </c>
      <c r="I41" s="7"/>
      <c r="J41" s="7"/>
      <c r="K41" s="7">
        <v>2</v>
      </c>
      <c r="L41" s="10">
        <f t="shared" ref="L41:L72" si="2">SUM(B41:K41)</f>
        <v>15708</v>
      </c>
      <c r="M41" s="11">
        <f>SUM(L41:L44)</f>
        <v>41709</v>
      </c>
      <c r="N41">
        <f>L41/$M$41</f>
        <v>0.376609364885277</v>
      </c>
    </row>
    <row r="42" ht="30" spans="1:14">
      <c r="A42" s="6" t="s">
        <v>52</v>
      </c>
      <c r="B42" s="7">
        <v>3554</v>
      </c>
      <c r="C42" s="7">
        <v>1750</v>
      </c>
      <c r="D42" s="7">
        <v>163</v>
      </c>
      <c r="E42" s="7">
        <v>130</v>
      </c>
      <c r="F42" s="7">
        <v>58</v>
      </c>
      <c r="G42" s="7">
        <v>33</v>
      </c>
      <c r="H42" s="7">
        <v>25</v>
      </c>
      <c r="I42" s="7"/>
      <c r="J42" s="7"/>
      <c r="K42" s="7">
        <v>1</v>
      </c>
      <c r="L42" s="10">
        <f t="shared" si="2"/>
        <v>5714</v>
      </c>
      <c r="M42" s="12"/>
      <c r="N42">
        <f>L42/$M$41</f>
        <v>0.13699681123978</v>
      </c>
    </row>
    <row r="43" ht="15" spans="1:14">
      <c r="A43" s="6" t="s">
        <v>53</v>
      </c>
      <c r="B43" s="7">
        <v>12787</v>
      </c>
      <c r="C43" s="7">
        <v>4644</v>
      </c>
      <c r="D43" s="7">
        <v>1017</v>
      </c>
      <c r="E43" s="7">
        <v>545</v>
      </c>
      <c r="F43" s="7">
        <v>325</v>
      </c>
      <c r="G43" s="7">
        <v>190</v>
      </c>
      <c r="H43" s="7">
        <v>135</v>
      </c>
      <c r="I43" s="7"/>
      <c r="J43" s="7">
        <v>3</v>
      </c>
      <c r="K43" s="7">
        <v>3</v>
      </c>
      <c r="L43" s="10">
        <f t="shared" si="2"/>
        <v>19649</v>
      </c>
      <c r="M43" s="12"/>
      <c r="N43">
        <f>L43/$M$41</f>
        <v>0.471097365077082</v>
      </c>
    </row>
    <row r="44" ht="30" spans="1:14">
      <c r="A44" s="6" t="s">
        <v>54</v>
      </c>
      <c r="B44" s="7">
        <v>240</v>
      </c>
      <c r="C44" s="7">
        <v>238</v>
      </c>
      <c r="D44" s="7">
        <v>44</v>
      </c>
      <c r="E44" s="7">
        <v>53</v>
      </c>
      <c r="F44" s="7">
        <v>31</v>
      </c>
      <c r="G44" s="7">
        <v>6</v>
      </c>
      <c r="H44" s="7">
        <v>25</v>
      </c>
      <c r="I44" s="7"/>
      <c r="J44" s="7"/>
      <c r="K44" s="7">
        <v>1</v>
      </c>
      <c r="L44" s="10">
        <f t="shared" si="2"/>
        <v>638</v>
      </c>
      <c r="M44" s="12"/>
      <c r="N44">
        <f>L44/$M$41</f>
        <v>0.0152964587978614</v>
      </c>
    </row>
    <row r="45" ht="15" spans="1:14">
      <c r="A45" s="6" t="s">
        <v>55</v>
      </c>
      <c r="B45" s="7">
        <v>40045</v>
      </c>
      <c r="C45" s="7">
        <v>21836</v>
      </c>
      <c r="D45" s="7">
        <v>10827</v>
      </c>
      <c r="E45" s="7">
        <v>4367</v>
      </c>
      <c r="F45" s="7">
        <v>4590</v>
      </c>
      <c r="G45" s="7">
        <v>2370</v>
      </c>
      <c r="H45" s="7">
        <v>2218</v>
      </c>
      <c r="I45" s="7">
        <v>2</v>
      </c>
      <c r="J45" s="7">
        <v>30</v>
      </c>
      <c r="K45" s="7">
        <v>187</v>
      </c>
      <c r="L45" s="10">
        <f t="shared" si="2"/>
        <v>86472</v>
      </c>
      <c r="M45" s="11">
        <f>SUM(L45:L47)</f>
        <v>251561</v>
      </c>
      <c r="N45">
        <f>L45/$M$45</f>
        <v>0.343741676969006</v>
      </c>
    </row>
    <row r="46" ht="15" spans="1:14">
      <c r="A46" s="6" t="s">
        <v>56</v>
      </c>
      <c r="B46" s="7">
        <v>22806</v>
      </c>
      <c r="C46" s="7">
        <v>13074</v>
      </c>
      <c r="D46" s="7">
        <v>2281</v>
      </c>
      <c r="E46" s="7">
        <v>1769</v>
      </c>
      <c r="F46" s="7">
        <v>1035</v>
      </c>
      <c r="G46" s="7">
        <v>383</v>
      </c>
      <c r="H46" s="7">
        <v>651</v>
      </c>
      <c r="I46" s="7">
        <v>1</v>
      </c>
      <c r="J46" s="7">
        <v>7</v>
      </c>
      <c r="K46" s="7">
        <v>39</v>
      </c>
      <c r="L46" s="10">
        <f t="shared" si="2"/>
        <v>42046</v>
      </c>
      <c r="M46" s="12"/>
      <c r="N46">
        <f>L46/$M$45</f>
        <v>0.167140375495407</v>
      </c>
    </row>
    <row r="47" ht="15" spans="1:14">
      <c r="A47" s="6" t="s">
        <v>57</v>
      </c>
      <c r="B47" s="7">
        <v>68060</v>
      </c>
      <c r="C47" s="7">
        <v>21313</v>
      </c>
      <c r="D47" s="7">
        <v>16924</v>
      </c>
      <c r="E47" s="7">
        <v>4343</v>
      </c>
      <c r="F47" s="7">
        <v>5920</v>
      </c>
      <c r="G47" s="7">
        <v>4357</v>
      </c>
      <c r="H47" s="7">
        <v>1561</v>
      </c>
      <c r="I47" s="7">
        <v>2</v>
      </c>
      <c r="J47" s="7">
        <v>43</v>
      </c>
      <c r="K47" s="7">
        <v>520</v>
      </c>
      <c r="L47" s="10">
        <f t="shared" si="2"/>
        <v>123043</v>
      </c>
      <c r="M47" s="12"/>
      <c r="N47">
        <f>L47/$M$45</f>
        <v>0.489117947535588</v>
      </c>
    </row>
    <row r="48" ht="30" spans="1:14">
      <c r="A48" s="6" t="s">
        <v>58</v>
      </c>
      <c r="B48" s="7">
        <v>34289</v>
      </c>
      <c r="C48" s="7">
        <v>19897</v>
      </c>
      <c r="D48" s="7">
        <v>7656</v>
      </c>
      <c r="E48" s="7">
        <v>3201</v>
      </c>
      <c r="F48" s="7">
        <v>4635</v>
      </c>
      <c r="G48" s="7">
        <v>3063</v>
      </c>
      <c r="H48" s="7">
        <v>1569</v>
      </c>
      <c r="I48" s="7">
        <v>3</v>
      </c>
      <c r="J48" s="7">
        <v>10</v>
      </c>
      <c r="K48" s="7">
        <v>288</v>
      </c>
      <c r="L48" s="10">
        <f t="shared" si="2"/>
        <v>74611</v>
      </c>
      <c r="M48" s="11">
        <f>SUM(L48:L50)</f>
        <v>547709</v>
      </c>
      <c r="N48">
        <f>L48/$M$48</f>
        <v>0.136223797673582</v>
      </c>
    </row>
    <row r="49" ht="30" spans="1:14">
      <c r="A49" s="6" t="s">
        <v>59</v>
      </c>
      <c r="B49" s="7">
        <v>65387</v>
      </c>
      <c r="C49" s="7">
        <v>85745</v>
      </c>
      <c r="D49" s="7">
        <v>9086</v>
      </c>
      <c r="E49" s="7">
        <v>10322</v>
      </c>
      <c r="F49" s="7">
        <v>4904</v>
      </c>
      <c r="G49" s="7">
        <v>1858</v>
      </c>
      <c r="H49" s="7">
        <v>3044</v>
      </c>
      <c r="I49" s="7">
        <v>2</v>
      </c>
      <c r="J49" s="7">
        <v>34</v>
      </c>
      <c r="K49" s="7">
        <v>682</v>
      </c>
      <c r="L49" s="10">
        <f t="shared" si="2"/>
        <v>181064</v>
      </c>
      <c r="M49" s="12"/>
      <c r="N49">
        <f>L49/$M$48</f>
        <v>0.330584306629981</v>
      </c>
    </row>
    <row r="50" ht="30" spans="1:14">
      <c r="A50" s="6" t="s">
        <v>60</v>
      </c>
      <c r="B50" s="7">
        <v>143951</v>
      </c>
      <c r="C50" s="7">
        <v>61968</v>
      </c>
      <c r="D50" s="7">
        <v>49894</v>
      </c>
      <c r="E50" s="7">
        <v>11594</v>
      </c>
      <c r="F50" s="7">
        <v>11971</v>
      </c>
      <c r="G50" s="7">
        <v>8923</v>
      </c>
      <c r="H50" s="7">
        <v>3030</v>
      </c>
      <c r="I50" s="7">
        <v>19</v>
      </c>
      <c r="J50" s="7">
        <v>74</v>
      </c>
      <c r="K50" s="7">
        <v>610</v>
      </c>
      <c r="L50" s="10">
        <f t="shared" si="2"/>
        <v>292034</v>
      </c>
      <c r="M50" s="12"/>
      <c r="N50">
        <f>L50/$M$48</f>
        <v>0.533191895696437</v>
      </c>
    </row>
    <row r="51" ht="30" spans="1:14">
      <c r="A51" s="6" t="s">
        <v>61</v>
      </c>
      <c r="B51" s="7">
        <v>93468</v>
      </c>
      <c r="C51" s="7">
        <v>28030</v>
      </c>
      <c r="D51" s="7">
        <v>7018</v>
      </c>
      <c r="E51" s="7">
        <v>3069</v>
      </c>
      <c r="F51" s="7">
        <v>3435</v>
      </c>
      <c r="G51" s="7">
        <v>2422</v>
      </c>
      <c r="H51" s="7">
        <v>1012</v>
      </c>
      <c r="I51" s="7">
        <v>2</v>
      </c>
      <c r="J51" s="7">
        <v>17</v>
      </c>
      <c r="K51" s="7">
        <v>85</v>
      </c>
      <c r="L51" s="10">
        <f t="shared" si="2"/>
        <v>138558</v>
      </c>
      <c r="M51" s="11">
        <f>SUM(L51:L55)</f>
        <v>237452</v>
      </c>
      <c r="N51">
        <f>L51/$M$51</f>
        <v>0.583520037733942</v>
      </c>
    </row>
    <row r="52" ht="15" spans="1:14">
      <c r="A52" s="6" t="s">
        <v>62</v>
      </c>
      <c r="B52" s="7">
        <v>365</v>
      </c>
      <c r="C52" s="7">
        <v>181</v>
      </c>
      <c r="D52" s="7">
        <v>82</v>
      </c>
      <c r="E52" s="7">
        <v>50</v>
      </c>
      <c r="F52" s="7">
        <v>56</v>
      </c>
      <c r="G52" s="7">
        <v>20</v>
      </c>
      <c r="H52" s="7">
        <v>37</v>
      </c>
      <c r="I52" s="7"/>
      <c r="J52" s="7"/>
      <c r="K52" s="7">
        <v>8</v>
      </c>
      <c r="L52" s="10">
        <f t="shared" si="2"/>
        <v>799</v>
      </c>
      <c r="M52" s="12"/>
      <c r="N52">
        <f>L52/$M$51</f>
        <v>0.00336489058841366</v>
      </c>
    </row>
    <row r="53" ht="15" spans="1:14">
      <c r="A53" s="6" t="s">
        <v>63</v>
      </c>
      <c r="B53" s="7">
        <v>455</v>
      </c>
      <c r="C53" s="7">
        <v>795</v>
      </c>
      <c r="D53" s="7">
        <v>25</v>
      </c>
      <c r="E53" s="7">
        <v>60</v>
      </c>
      <c r="F53" s="7">
        <v>22</v>
      </c>
      <c r="G53" s="7">
        <v>1</v>
      </c>
      <c r="H53" s="7">
        <v>21</v>
      </c>
      <c r="I53" s="7"/>
      <c r="J53" s="7"/>
      <c r="K53" s="7">
        <v>1</v>
      </c>
      <c r="L53" s="10">
        <f t="shared" si="2"/>
        <v>1380</v>
      </c>
      <c r="M53" s="12"/>
      <c r="N53">
        <f>L53/$M$51</f>
        <v>0.00581170089112747</v>
      </c>
    </row>
    <row r="54" ht="30" spans="1:14">
      <c r="A54" s="6" t="s">
        <v>64</v>
      </c>
      <c r="B54" s="7">
        <v>33080</v>
      </c>
      <c r="C54" s="7">
        <v>25519</v>
      </c>
      <c r="D54" s="7">
        <v>1473</v>
      </c>
      <c r="E54" s="7">
        <v>1479</v>
      </c>
      <c r="F54" s="7">
        <v>876</v>
      </c>
      <c r="G54" s="7">
        <v>403</v>
      </c>
      <c r="H54" s="7">
        <v>473</v>
      </c>
      <c r="I54" s="7"/>
      <c r="J54" s="7">
        <v>2</v>
      </c>
      <c r="K54" s="7">
        <v>51</v>
      </c>
      <c r="L54" s="10">
        <f t="shared" si="2"/>
        <v>63356</v>
      </c>
      <c r="M54" s="12"/>
      <c r="N54">
        <f>L54/$M$51</f>
        <v>0.266816030187154</v>
      </c>
    </row>
    <row r="55" ht="30" spans="1:14">
      <c r="A55" s="6" t="s">
        <v>65</v>
      </c>
      <c r="B55" s="7">
        <v>5941</v>
      </c>
      <c r="C55" s="7">
        <v>20847</v>
      </c>
      <c r="D55" s="7">
        <v>1374</v>
      </c>
      <c r="E55" s="7">
        <v>4177</v>
      </c>
      <c r="F55" s="7">
        <v>508</v>
      </c>
      <c r="G55" s="7">
        <v>372</v>
      </c>
      <c r="H55" s="7">
        <v>136</v>
      </c>
      <c r="I55" s="7">
        <v>0</v>
      </c>
      <c r="J55" s="7">
        <v>1</v>
      </c>
      <c r="K55" s="7">
        <v>3</v>
      </c>
      <c r="L55" s="10">
        <f t="shared" si="2"/>
        <v>33359</v>
      </c>
      <c r="M55" s="12"/>
      <c r="N55">
        <f>L55/$M$51</f>
        <v>0.140487340599363</v>
      </c>
    </row>
    <row r="56" ht="15" spans="1:14">
      <c r="A56" s="6" t="s">
        <v>66</v>
      </c>
      <c r="B56" s="7">
        <v>14229</v>
      </c>
      <c r="C56" s="7">
        <v>9234</v>
      </c>
      <c r="D56" s="7">
        <v>3144</v>
      </c>
      <c r="E56" s="7">
        <v>1318</v>
      </c>
      <c r="F56" s="7">
        <v>983</v>
      </c>
      <c r="G56" s="7">
        <v>637</v>
      </c>
      <c r="H56" s="7">
        <v>345</v>
      </c>
      <c r="I56" s="7"/>
      <c r="J56" s="7">
        <v>9</v>
      </c>
      <c r="K56" s="7">
        <v>619</v>
      </c>
      <c r="L56" s="10">
        <f t="shared" si="2"/>
        <v>30518</v>
      </c>
      <c r="M56" s="11">
        <f>SUM(L56:L57)</f>
        <v>163431</v>
      </c>
      <c r="N56">
        <f>L56/$M$56</f>
        <v>0.186733239103964</v>
      </c>
    </row>
    <row r="57" ht="15" spans="1:14">
      <c r="A57" s="6" t="s">
        <v>67</v>
      </c>
      <c r="B57" s="7">
        <v>64859</v>
      </c>
      <c r="C57" s="7">
        <v>12933</v>
      </c>
      <c r="D57" s="7">
        <v>31387</v>
      </c>
      <c r="E57" s="7">
        <v>2739</v>
      </c>
      <c r="F57" s="7">
        <v>10192</v>
      </c>
      <c r="G57" s="7">
        <v>9034</v>
      </c>
      <c r="H57" s="7">
        <v>1158</v>
      </c>
      <c r="I57" s="7"/>
      <c r="J57" s="7">
        <v>24</v>
      </c>
      <c r="K57" s="7">
        <v>587</v>
      </c>
      <c r="L57" s="10">
        <f t="shared" si="2"/>
        <v>132913</v>
      </c>
      <c r="M57" s="12"/>
      <c r="N57">
        <f>L57/$M$56</f>
        <v>0.813266760896036</v>
      </c>
    </row>
    <row r="58" ht="15" spans="1:14">
      <c r="A58" s="6" t="s">
        <v>68</v>
      </c>
      <c r="B58" s="7">
        <v>751</v>
      </c>
      <c r="C58" s="7">
        <v>9151</v>
      </c>
      <c r="D58" s="7">
        <v>215</v>
      </c>
      <c r="E58" s="7">
        <v>1083</v>
      </c>
      <c r="F58" s="7">
        <v>337</v>
      </c>
      <c r="G58" s="7">
        <v>56</v>
      </c>
      <c r="H58" s="7">
        <v>281</v>
      </c>
      <c r="I58" s="7">
        <v>1</v>
      </c>
      <c r="J58" s="7">
        <v>1</v>
      </c>
      <c r="K58" s="7">
        <v>9</v>
      </c>
      <c r="L58" s="10">
        <f t="shared" si="2"/>
        <v>11885</v>
      </c>
      <c r="M58" s="11">
        <f>SUM(L58:L63)</f>
        <v>135018</v>
      </c>
      <c r="N58">
        <f>L58/$M$58</f>
        <v>0.0880253003303263</v>
      </c>
    </row>
    <row r="59" ht="30" spans="1:14">
      <c r="A59" s="6" t="s">
        <v>69</v>
      </c>
      <c r="B59" s="7">
        <v>442</v>
      </c>
      <c r="C59" s="7">
        <v>3120</v>
      </c>
      <c r="D59" s="7">
        <v>194</v>
      </c>
      <c r="E59" s="7">
        <v>672</v>
      </c>
      <c r="F59" s="7">
        <v>539</v>
      </c>
      <c r="G59" s="7">
        <v>62</v>
      </c>
      <c r="H59" s="7">
        <v>477</v>
      </c>
      <c r="I59" s="7"/>
      <c r="J59" s="7">
        <v>2</v>
      </c>
      <c r="K59" s="7">
        <v>7</v>
      </c>
      <c r="L59" s="10">
        <f t="shared" si="2"/>
        <v>5515</v>
      </c>
      <c r="M59" s="12"/>
      <c r="N59">
        <f>L59/$M$58</f>
        <v>0.0408464056644299</v>
      </c>
    </row>
    <row r="60" ht="30" spans="1:14">
      <c r="A60" s="6" t="s">
        <v>70</v>
      </c>
      <c r="B60" s="7">
        <v>173</v>
      </c>
      <c r="C60" s="7">
        <v>4180</v>
      </c>
      <c r="D60" s="7">
        <v>18</v>
      </c>
      <c r="E60" s="7">
        <v>195</v>
      </c>
      <c r="F60" s="7">
        <v>53</v>
      </c>
      <c r="G60" s="7">
        <v>4</v>
      </c>
      <c r="H60" s="7">
        <v>49</v>
      </c>
      <c r="I60" s="7"/>
      <c r="J60" s="7">
        <v>0</v>
      </c>
      <c r="K60" s="7">
        <v>0</v>
      </c>
      <c r="L60" s="10">
        <f t="shared" si="2"/>
        <v>4672</v>
      </c>
      <c r="M60" s="12"/>
      <c r="N60">
        <f>L60/$M$58</f>
        <v>0.0346027937015805</v>
      </c>
    </row>
    <row r="61" ht="15" spans="1:14">
      <c r="A61" s="6" t="s">
        <v>71</v>
      </c>
      <c r="B61" s="7">
        <v>2075</v>
      </c>
      <c r="C61" s="7">
        <v>14085</v>
      </c>
      <c r="D61" s="7">
        <v>188</v>
      </c>
      <c r="E61" s="7">
        <v>530</v>
      </c>
      <c r="F61" s="7">
        <v>120</v>
      </c>
      <c r="G61" s="7">
        <v>36</v>
      </c>
      <c r="H61" s="7">
        <v>83</v>
      </c>
      <c r="I61" s="7"/>
      <c r="J61" s="7">
        <v>2</v>
      </c>
      <c r="K61" s="7">
        <v>4</v>
      </c>
      <c r="L61" s="10">
        <f t="shared" si="2"/>
        <v>17123</v>
      </c>
      <c r="M61" s="12"/>
      <c r="N61">
        <f>L61/$M$58</f>
        <v>0.126820127686679</v>
      </c>
    </row>
    <row r="62" ht="30" spans="1:14">
      <c r="A62" s="6" t="s">
        <v>72</v>
      </c>
      <c r="B62" s="7">
        <v>2103</v>
      </c>
      <c r="C62" s="7">
        <v>71821</v>
      </c>
      <c r="D62" s="7">
        <v>505</v>
      </c>
      <c r="E62" s="7">
        <v>5509</v>
      </c>
      <c r="F62" s="7">
        <v>1786</v>
      </c>
      <c r="G62" s="7">
        <v>255</v>
      </c>
      <c r="H62" s="7">
        <v>1528</v>
      </c>
      <c r="I62" s="7">
        <v>2</v>
      </c>
      <c r="J62" s="7">
        <v>19</v>
      </c>
      <c r="K62" s="7">
        <v>65</v>
      </c>
      <c r="L62" s="10">
        <f t="shared" si="2"/>
        <v>83593</v>
      </c>
      <c r="M62" s="12"/>
      <c r="N62">
        <f>L62/$M$58</f>
        <v>0.619124857426417</v>
      </c>
    </row>
    <row r="63" ht="15" spans="1:14">
      <c r="A63" s="6" t="s">
        <v>73</v>
      </c>
      <c r="B63" s="7">
        <v>741</v>
      </c>
      <c r="C63" s="7">
        <v>9108</v>
      </c>
      <c r="D63" s="7">
        <v>212</v>
      </c>
      <c r="E63" s="7">
        <v>1223</v>
      </c>
      <c r="F63" s="7">
        <v>468</v>
      </c>
      <c r="G63" s="7">
        <v>85</v>
      </c>
      <c r="H63" s="7">
        <v>383</v>
      </c>
      <c r="I63" s="7"/>
      <c r="J63" s="7">
        <v>3</v>
      </c>
      <c r="K63" s="7">
        <v>7</v>
      </c>
      <c r="L63" s="10">
        <f t="shared" si="2"/>
        <v>12230</v>
      </c>
      <c r="M63" s="12"/>
      <c r="N63">
        <f>L63/$M$58</f>
        <v>0.0905805151905672</v>
      </c>
    </row>
    <row r="64" ht="45" spans="1:14">
      <c r="A64" s="6" t="s">
        <v>74</v>
      </c>
      <c r="B64" s="7">
        <v>497</v>
      </c>
      <c r="C64" s="7">
        <v>44419</v>
      </c>
      <c r="D64" s="7">
        <v>71</v>
      </c>
      <c r="E64" s="7">
        <v>4185</v>
      </c>
      <c r="F64" s="7">
        <v>564</v>
      </c>
      <c r="G64" s="7">
        <v>33</v>
      </c>
      <c r="H64" s="7">
        <v>531</v>
      </c>
      <c r="I64" s="7"/>
      <c r="J64" s="7">
        <v>1</v>
      </c>
      <c r="K64" s="7">
        <v>0</v>
      </c>
      <c r="L64" s="10">
        <f t="shared" si="2"/>
        <v>50301</v>
      </c>
      <c r="M64" s="11">
        <f>SUM(L64:L66)</f>
        <v>74530</v>
      </c>
      <c r="N64">
        <f>L64/$M$64</f>
        <v>0.674909432443311</v>
      </c>
    </row>
    <row r="65" ht="60" spans="1:14">
      <c r="A65" s="6" t="s">
        <v>75</v>
      </c>
      <c r="B65" s="7">
        <v>41</v>
      </c>
      <c r="C65" s="7">
        <v>6889</v>
      </c>
      <c r="D65" s="7">
        <v>6</v>
      </c>
      <c r="E65" s="7">
        <v>1018</v>
      </c>
      <c r="F65" s="7">
        <v>228</v>
      </c>
      <c r="G65" s="7"/>
      <c r="H65" s="7">
        <v>228</v>
      </c>
      <c r="I65" s="7"/>
      <c r="J65" s="7">
        <v>0</v>
      </c>
      <c r="K65" s="7"/>
      <c r="L65" s="10">
        <f t="shared" si="2"/>
        <v>8410</v>
      </c>
      <c r="M65" s="12"/>
      <c r="N65">
        <f>L65/$M$64</f>
        <v>0.11284046692607</v>
      </c>
    </row>
    <row r="66" ht="30" spans="1:14">
      <c r="A66" s="6" t="s">
        <v>76</v>
      </c>
      <c r="B66" s="7">
        <v>1154</v>
      </c>
      <c r="C66" s="7">
        <v>8629</v>
      </c>
      <c r="D66" s="7">
        <v>352</v>
      </c>
      <c r="E66" s="7">
        <v>2183</v>
      </c>
      <c r="F66" s="7">
        <v>1739</v>
      </c>
      <c r="G66" s="7">
        <v>197</v>
      </c>
      <c r="H66" s="7">
        <v>1541</v>
      </c>
      <c r="I66" s="7">
        <v>1</v>
      </c>
      <c r="J66" s="7">
        <v>6</v>
      </c>
      <c r="K66" s="7">
        <v>17</v>
      </c>
      <c r="L66" s="10">
        <f t="shared" si="2"/>
        <v>15819</v>
      </c>
      <c r="M66" s="12"/>
      <c r="N66">
        <f>L66/$M$64</f>
        <v>0.212250100630619</v>
      </c>
    </row>
    <row r="67" ht="15" spans="1:14">
      <c r="A67" s="6" t="s">
        <v>77</v>
      </c>
      <c r="B67" s="7">
        <v>17244</v>
      </c>
      <c r="C67" s="7">
        <v>18975</v>
      </c>
      <c r="D67" s="7">
        <v>5424</v>
      </c>
      <c r="E67" s="7">
        <v>5031</v>
      </c>
      <c r="F67" s="7">
        <v>5389</v>
      </c>
      <c r="G67" s="7">
        <v>2042</v>
      </c>
      <c r="H67" s="7">
        <v>3344</v>
      </c>
      <c r="I67" s="7">
        <v>4</v>
      </c>
      <c r="J67" s="7">
        <v>54</v>
      </c>
      <c r="K67" s="7">
        <v>262</v>
      </c>
      <c r="L67" s="10">
        <f t="shared" si="2"/>
        <v>57769</v>
      </c>
      <c r="M67">
        <v>57769</v>
      </c>
      <c r="N67">
        <f>L67/$M$67</f>
        <v>1</v>
      </c>
    </row>
    <row r="68" ht="30" spans="1:14">
      <c r="A68" s="6" t="s">
        <v>78</v>
      </c>
      <c r="B68" s="7">
        <v>1230</v>
      </c>
      <c r="C68" s="7">
        <v>43231</v>
      </c>
      <c r="D68" s="7">
        <v>668</v>
      </c>
      <c r="E68" s="7">
        <v>8973</v>
      </c>
      <c r="F68" s="7">
        <v>4090</v>
      </c>
      <c r="G68" s="7">
        <v>485</v>
      </c>
      <c r="H68" s="7">
        <v>3605</v>
      </c>
      <c r="I68" s="7">
        <v>0</v>
      </c>
      <c r="J68" s="7">
        <v>78</v>
      </c>
      <c r="K68" s="7">
        <v>113</v>
      </c>
      <c r="L68" s="10">
        <f t="shared" si="2"/>
        <v>62473</v>
      </c>
      <c r="M68" s="11">
        <f>SUM(L68:L74)</f>
        <v>219677</v>
      </c>
      <c r="N68">
        <f>L68/$M$68</f>
        <v>0.284385711749523</v>
      </c>
    </row>
    <row r="69" ht="30" spans="1:14">
      <c r="A69" s="6" t="s">
        <v>79</v>
      </c>
      <c r="B69" s="7">
        <v>5199</v>
      </c>
      <c r="C69" s="7">
        <v>30779</v>
      </c>
      <c r="D69" s="7">
        <v>1462</v>
      </c>
      <c r="E69" s="7">
        <v>5072</v>
      </c>
      <c r="F69" s="7">
        <v>2869</v>
      </c>
      <c r="G69" s="7">
        <v>523</v>
      </c>
      <c r="H69" s="7">
        <v>2346</v>
      </c>
      <c r="I69" s="7"/>
      <c r="J69" s="7">
        <v>23</v>
      </c>
      <c r="K69" s="7">
        <v>91</v>
      </c>
      <c r="L69" s="10">
        <f t="shared" si="2"/>
        <v>48364</v>
      </c>
      <c r="M69" s="12"/>
      <c r="N69">
        <f t="shared" ref="N69:N74" si="3">L69/$M$68</f>
        <v>0.22015959795518</v>
      </c>
    </row>
    <row r="70" ht="45" spans="1:14">
      <c r="A70" s="6" t="s">
        <v>80</v>
      </c>
      <c r="B70" s="7">
        <v>7580</v>
      </c>
      <c r="C70" s="7">
        <v>30323</v>
      </c>
      <c r="D70" s="7">
        <v>1195</v>
      </c>
      <c r="E70" s="7">
        <v>5667</v>
      </c>
      <c r="F70" s="7">
        <v>2705</v>
      </c>
      <c r="G70" s="7">
        <v>368</v>
      </c>
      <c r="H70" s="7">
        <v>2337</v>
      </c>
      <c r="I70" s="7"/>
      <c r="J70" s="7">
        <v>18</v>
      </c>
      <c r="K70" s="7">
        <v>82</v>
      </c>
      <c r="L70" s="10">
        <f t="shared" si="2"/>
        <v>50275</v>
      </c>
      <c r="M70" s="12"/>
      <c r="N70">
        <f t="shared" si="3"/>
        <v>0.22885873350419</v>
      </c>
    </row>
    <row r="71" ht="30" spans="1:14">
      <c r="A71" s="6" t="s">
        <v>81</v>
      </c>
      <c r="B71" s="7">
        <v>959</v>
      </c>
      <c r="C71" s="7">
        <v>19212</v>
      </c>
      <c r="D71" s="7">
        <v>146</v>
      </c>
      <c r="E71" s="7">
        <v>3076</v>
      </c>
      <c r="F71" s="7">
        <v>814</v>
      </c>
      <c r="G71" s="7">
        <v>44</v>
      </c>
      <c r="H71" s="7">
        <v>770</v>
      </c>
      <c r="I71" s="7"/>
      <c r="J71" s="7">
        <v>4</v>
      </c>
      <c r="K71" s="7">
        <v>16</v>
      </c>
      <c r="L71" s="10">
        <f t="shared" si="2"/>
        <v>25041</v>
      </c>
      <c r="M71" s="12"/>
      <c r="N71">
        <f t="shared" si="3"/>
        <v>0.113990085443629</v>
      </c>
    </row>
    <row r="72" ht="15" spans="1:14">
      <c r="A72" s="6" t="s">
        <v>82</v>
      </c>
      <c r="B72" s="7">
        <v>1021</v>
      </c>
      <c r="C72" s="7">
        <v>8542</v>
      </c>
      <c r="D72" s="7">
        <v>718</v>
      </c>
      <c r="E72" s="7">
        <v>1615</v>
      </c>
      <c r="F72" s="7">
        <v>1016</v>
      </c>
      <c r="G72" s="7">
        <v>275</v>
      </c>
      <c r="H72" s="7">
        <v>742</v>
      </c>
      <c r="I72" s="7"/>
      <c r="J72" s="7">
        <v>3</v>
      </c>
      <c r="K72" s="7">
        <v>14</v>
      </c>
      <c r="L72" s="10">
        <f t="shared" si="2"/>
        <v>13946</v>
      </c>
      <c r="M72" s="12"/>
      <c r="N72">
        <f t="shared" si="3"/>
        <v>0.0634841153147576</v>
      </c>
    </row>
    <row r="73" ht="45" spans="1:14">
      <c r="A73" s="6" t="s">
        <v>83</v>
      </c>
      <c r="B73" s="7">
        <v>3904</v>
      </c>
      <c r="C73" s="7">
        <v>7145</v>
      </c>
      <c r="D73" s="7">
        <v>730</v>
      </c>
      <c r="E73" s="7">
        <v>1749</v>
      </c>
      <c r="F73" s="7">
        <v>1329</v>
      </c>
      <c r="G73" s="7">
        <v>252</v>
      </c>
      <c r="H73" s="7">
        <v>1077</v>
      </c>
      <c r="I73" s="7"/>
      <c r="J73" s="7">
        <v>8</v>
      </c>
      <c r="K73" s="7">
        <v>107</v>
      </c>
      <c r="L73" s="10">
        <f t="shared" ref="L73:L94" si="4">SUM(B73:K73)</f>
        <v>16301</v>
      </c>
      <c r="M73" s="12"/>
      <c r="N73">
        <f t="shared" si="3"/>
        <v>0.0742044000965053</v>
      </c>
    </row>
    <row r="74" ht="15" spans="1:14">
      <c r="A74" s="6" t="s">
        <v>84</v>
      </c>
      <c r="B74" s="7">
        <v>238</v>
      </c>
      <c r="C74" s="7">
        <v>1596</v>
      </c>
      <c r="D74" s="7">
        <v>116</v>
      </c>
      <c r="E74" s="7">
        <v>735</v>
      </c>
      <c r="F74" s="7">
        <v>293</v>
      </c>
      <c r="G74" s="7">
        <v>33</v>
      </c>
      <c r="H74" s="7">
        <v>259</v>
      </c>
      <c r="I74" s="7">
        <v>1</v>
      </c>
      <c r="J74" s="7">
        <v>2</v>
      </c>
      <c r="K74" s="7">
        <v>4</v>
      </c>
      <c r="L74" s="10">
        <f t="shared" si="4"/>
        <v>3277</v>
      </c>
      <c r="M74" s="12"/>
      <c r="N74">
        <f t="shared" si="3"/>
        <v>0.0149173559362154</v>
      </c>
    </row>
    <row r="75" ht="15" spans="1:14">
      <c r="A75" s="6" t="s">
        <v>85</v>
      </c>
      <c r="B75" s="7">
        <v>3831</v>
      </c>
      <c r="C75" s="7">
        <v>3489</v>
      </c>
      <c r="D75" s="7">
        <v>805</v>
      </c>
      <c r="E75" s="7">
        <v>542</v>
      </c>
      <c r="F75" s="7">
        <v>640</v>
      </c>
      <c r="G75" s="7">
        <v>363</v>
      </c>
      <c r="H75" s="7">
        <v>278</v>
      </c>
      <c r="I75" s="7"/>
      <c r="J75" s="7"/>
      <c r="K75" s="7">
        <v>30</v>
      </c>
      <c r="L75" s="10">
        <f t="shared" si="4"/>
        <v>9978</v>
      </c>
      <c r="M75" s="11">
        <f>SUM(L75:L80)</f>
        <v>238928</v>
      </c>
      <c r="N75">
        <f>L75/$M$75</f>
        <v>0.0417615348556887</v>
      </c>
    </row>
    <row r="76" ht="15" spans="1:14">
      <c r="A76" s="6" t="s">
        <v>86</v>
      </c>
      <c r="B76" s="7">
        <v>53870</v>
      </c>
      <c r="C76" s="7">
        <v>10560</v>
      </c>
      <c r="D76" s="7">
        <v>3863</v>
      </c>
      <c r="E76" s="7">
        <v>1829</v>
      </c>
      <c r="F76" s="7">
        <v>1010</v>
      </c>
      <c r="G76" s="7">
        <v>746</v>
      </c>
      <c r="H76" s="7">
        <v>265</v>
      </c>
      <c r="I76" s="7"/>
      <c r="J76" s="7">
        <v>52</v>
      </c>
      <c r="K76" s="7">
        <v>253</v>
      </c>
      <c r="L76" s="10">
        <f t="shared" si="4"/>
        <v>72448</v>
      </c>
      <c r="M76" s="12"/>
      <c r="N76">
        <f>L76/$M$75</f>
        <v>0.303221054041385</v>
      </c>
    </row>
    <row r="77" ht="45" spans="1:14">
      <c r="A77" s="6" t="s">
        <v>87</v>
      </c>
      <c r="B77" s="7">
        <v>210</v>
      </c>
      <c r="C77" s="7">
        <v>2042</v>
      </c>
      <c r="D77" s="7">
        <v>93</v>
      </c>
      <c r="E77" s="7">
        <v>786</v>
      </c>
      <c r="F77" s="7">
        <v>254</v>
      </c>
      <c r="G77" s="7">
        <v>35</v>
      </c>
      <c r="H77" s="7">
        <v>219</v>
      </c>
      <c r="I77" s="7"/>
      <c r="J77" s="7">
        <v>1</v>
      </c>
      <c r="K77" s="7">
        <v>64</v>
      </c>
      <c r="L77" s="10">
        <f t="shared" si="4"/>
        <v>3704</v>
      </c>
      <c r="M77" s="12"/>
      <c r="N77">
        <f>L77/$M$75</f>
        <v>0.0155025781825487</v>
      </c>
    </row>
    <row r="78" ht="30" spans="1:14">
      <c r="A78" s="6" t="s">
        <v>88</v>
      </c>
      <c r="B78" s="7">
        <v>27162</v>
      </c>
      <c r="C78" s="7">
        <v>4230</v>
      </c>
      <c r="D78" s="7">
        <v>4669</v>
      </c>
      <c r="E78" s="7">
        <v>973</v>
      </c>
      <c r="F78" s="7">
        <v>1939</v>
      </c>
      <c r="G78" s="7">
        <v>1529</v>
      </c>
      <c r="H78" s="7">
        <v>411</v>
      </c>
      <c r="I78" s="7"/>
      <c r="J78" s="7">
        <v>4</v>
      </c>
      <c r="K78" s="7">
        <v>23</v>
      </c>
      <c r="L78" s="10">
        <f t="shared" si="4"/>
        <v>40940</v>
      </c>
      <c r="M78" s="12"/>
      <c r="N78">
        <f>L78/$M$75</f>
        <v>0.171348690818991</v>
      </c>
    </row>
    <row r="79" ht="30" spans="1:14">
      <c r="A79" s="6" t="s">
        <v>89</v>
      </c>
      <c r="B79" s="7">
        <v>35563</v>
      </c>
      <c r="C79" s="7">
        <v>7786</v>
      </c>
      <c r="D79" s="7">
        <v>13430</v>
      </c>
      <c r="E79" s="7">
        <v>1417</v>
      </c>
      <c r="F79" s="7">
        <v>6285</v>
      </c>
      <c r="G79" s="7">
        <v>5694</v>
      </c>
      <c r="H79" s="7">
        <v>592</v>
      </c>
      <c r="I79" s="7"/>
      <c r="J79" s="7">
        <v>7</v>
      </c>
      <c r="K79" s="7">
        <v>99</v>
      </c>
      <c r="L79" s="10">
        <f t="shared" si="4"/>
        <v>70873</v>
      </c>
      <c r="M79" s="12"/>
      <c r="N79">
        <f>L79/$M$75</f>
        <v>0.296629110024777</v>
      </c>
    </row>
    <row r="80" ht="30" spans="1:14">
      <c r="A80" s="6" t="s">
        <v>90</v>
      </c>
      <c r="B80" s="7">
        <v>9264</v>
      </c>
      <c r="C80" s="7">
        <v>19173</v>
      </c>
      <c r="D80" s="7">
        <v>5342</v>
      </c>
      <c r="E80" s="7">
        <v>3375</v>
      </c>
      <c r="F80" s="7">
        <v>1844</v>
      </c>
      <c r="G80" s="7">
        <v>780</v>
      </c>
      <c r="H80" s="7">
        <v>1064</v>
      </c>
      <c r="I80" s="7"/>
      <c r="J80" s="7">
        <v>14</v>
      </c>
      <c r="K80" s="7">
        <v>129</v>
      </c>
      <c r="L80" s="10">
        <f t="shared" si="4"/>
        <v>40985</v>
      </c>
      <c r="M80" s="12"/>
      <c r="N80">
        <f>L80/$M$75</f>
        <v>0.171537032076609</v>
      </c>
    </row>
    <row r="81" ht="30" spans="1:14">
      <c r="A81" s="6" t="s">
        <v>91</v>
      </c>
      <c r="B81" s="7">
        <v>125124</v>
      </c>
      <c r="C81" s="7">
        <v>188877</v>
      </c>
      <c r="D81" s="7">
        <v>3305</v>
      </c>
      <c r="E81" s="7">
        <v>6761</v>
      </c>
      <c r="F81" s="7">
        <v>792</v>
      </c>
      <c r="G81" s="7">
        <v>113</v>
      </c>
      <c r="H81" s="7">
        <v>679</v>
      </c>
      <c r="I81" s="7"/>
      <c r="J81" s="7">
        <v>6</v>
      </c>
      <c r="K81" s="7">
        <v>16</v>
      </c>
      <c r="L81" s="10">
        <f t="shared" si="4"/>
        <v>325673</v>
      </c>
      <c r="M81">
        <v>325673</v>
      </c>
      <c r="N81">
        <f>L81/$M$81</f>
        <v>1</v>
      </c>
    </row>
    <row r="82" ht="15" spans="1:14">
      <c r="A82" s="6" t="s">
        <v>92</v>
      </c>
      <c r="B82" s="7">
        <v>44693</v>
      </c>
      <c r="C82" s="7">
        <v>205337</v>
      </c>
      <c r="D82" s="7">
        <v>7312</v>
      </c>
      <c r="E82" s="7">
        <v>22019</v>
      </c>
      <c r="F82" s="7">
        <v>4908</v>
      </c>
      <c r="G82" s="7">
        <v>406</v>
      </c>
      <c r="H82" s="7">
        <v>4502</v>
      </c>
      <c r="I82" s="7"/>
      <c r="J82" s="7">
        <v>56</v>
      </c>
      <c r="K82" s="7">
        <v>451</v>
      </c>
      <c r="L82" s="10">
        <f t="shared" si="4"/>
        <v>289684</v>
      </c>
      <c r="M82">
        <v>289684</v>
      </c>
      <c r="N82">
        <f>L82/$M$82</f>
        <v>1</v>
      </c>
    </row>
    <row r="83" ht="30" spans="1:14">
      <c r="A83" s="6" t="s">
        <v>93</v>
      </c>
      <c r="B83" s="7">
        <v>23574</v>
      </c>
      <c r="C83" s="7">
        <v>120442</v>
      </c>
      <c r="D83" s="7">
        <v>3402</v>
      </c>
      <c r="E83" s="7">
        <v>20781</v>
      </c>
      <c r="F83" s="7">
        <v>7879</v>
      </c>
      <c r="G83" s="7">
        <v>1107</v>
      </c>
      <c r="H83" s="7">
        <v>6771</v>
      </c>
      <c r="I83" s="7">
        <v>1</v>
      </c>
      <c r="J83" s="7">
        <v>16</v>
      </c>
      <c r="K83" s="7">
        <v>53</v>
      </c>
      <c r="L83" s="10">
        <f t="shared" si="4"/>
        <v>184026</v>
      </c>
      <c r="M83" s="11">
        <f>SUM(L83:L85)</f>
        <v>290796</v>
      </c>
      <c r="N83">
        <f>L83/$M$83</f>
        <v>0.632835389757768</v>
      </c>
    </row>
    <row r="84" ht="30" spans="1:14">
      <c r="A84" s="6" t="s">
        <v>94</v>
      </c>
      <c r="B84" s="7">
        <v>12941</v>
      </c>
      <c r="C84" s="7">
        <v>31694</v>
      </c>
      <c r="D84" s="7">
        <v>2640</v>
      </c>
      <c r="E84" s="7">
        <v>2298</v>
      </c>
      <c r="F84" s="7">
        <v>294</v>
      </c>
      <c r="G84" s="7">
        <v>51</v>
      </c>
      <c r="H84" s="7">
        <v>241</v>
      </c>
      <c r="I84" s="7">
        <v>2</v>
      </c>
      <c r="J84" s="7">
        <v>62</v>
      </c>
      <c r="K84" s="7">
        <v>4</v>
      </c>
      <c r="L84" s="10">
        <f t="shared" si="4"/>
        <v>50227</v>
      </c>
      <c r="M84" s="12"/>
      <c r="N84">
        <f>L84/$M$83</f>
        <v>0.172722458355686</v>
      </c>
    </row>
    <row r="85" ht="30" spans="1:14">
      <c r="A85" s="6" t="s">
        <v>95</v>
      </c>
      <c r="B85" s="7">
        <v>13061</v>
      </c>
      <c r="C85" s="7">
        <v>33960</v>
      </c>
      <c r="D85" s="7">
        <v>5004</v>
      </c>
      <c r="E85" s="7">
        <v>3017</v>
      </c>
      <c r="F85" s="7">
        <v>709</v>
      </c>
      <c r="G85" s="7">
        <v>131</v>
      </c>
      <c r="H85" s="7">
        <v>578</v>
      </c>
      <c r="I85" s="7">
        <v>0</v>
      </c>
      <c r="J85" s="7">
        <v>30</v>
      </c>
      <c r="K85" s="7">
        <v>53</v>
      </c>
      <c r="L85" s="10">
        <f t="shared" si="4"/>
        <v>56543</v>
      </c>
      <c r="M85" s="12"/>
      <c r="N85">
        <f>L85/$M$83</f>
        <v>0.194442151886546</v>
      </c>
    </row>
    <row r="86" ht="30" spans="1:14">
      <c r="A86" s="6" t="s">
        <v>96</v>
      </c>
      <c r="B86" s="7">
        <v>2866</v>
      </c>
      <c r="C86" s="7">
        <v>12992</v>
      </c>
      <c r="D86" s="7">
        <v>734</v>
      </c>
      <c r="E86" s="7">
        <v>2180</v>
      </c>
      <c r="F86" s="7">
        <v>1092</v>
      </c>
      <c r="G86" s="7">
        <v>177</v>
      </c>
      <c r="H86" s="7">
        <v>915</v>
      </c>
      <c r="I86" s="7"/>
      <c r="J86" s="7">
        <v>1</v>
      </c>
      <c r="K86" s="7">
        <v>11</v>
      </c>
      <c r="L86" s="10">
        <f t="shared" si="4"/>
        <v>20968</v>
      </c>
      <c r="M86" s="11">
        <f>SUM(L86:L89)</f>
        <v>69248</v>
      </c>
      <c r="N86">
        <f>L86/$M$86</f>
        <v>0.302795748613678</v>
      </c>
    </row>
    <row r="87" ht="45" spans="1:14">
      <c r="A87" s="6" t="s">
        <v>97</v>
      </c>
      <c r="B87" s="7">
        <v>3366</v>
      </c>
      <c r="C87" s="7">
        <v>9029</v>
      </c>
      <c r="D87" s="7">
        <v>552</v>
      </c>
      <c r="E87" s="7">
        <v>1076</v>
      </c>
      <c r="F87" s="7">
        <v>167</v>
      </c>
      <c r="G87" s="7">
        <v>45</v>
      </c>
      <c r="H87" s="7">
        <v>123</v>
      </c>
      <c r="I87" s="7"/>
      <c r="J87" s="7"/>
      <c r="K87" s="7">
        <v>13</v>
      </c>
      <c r="L87" s="10">
        <f t="shared" si="4"/>
        <v>14371</v>
      </c>
      <c r="M87" s="12"/>
      <c r="N87">
        <f>L87/$M$86</f>
        <v>0.207529459334566</v>
      </c>
    </row>
    <row r="88" ht="15" spans="1:14">
      <c r="A88" s="6" t="s">
        <v>98</v>
      </c>
      <c r="B88" s="7">
        <v>1116</v>
      </c>
      <c r="C88" s="7">
        <v>1991</v>
      </c>
      <c r="D88" s="7">
        <v>709</v>
      </c>
      <c r="E88" s="7">
        <v>192</v>
      </c>
      <c r="F88" s="7">
        <v>120</v>
      </c>
      <c r="G88" s="7">
        <v>79</v>
      </c>
      <c r="H88" s="7">
        <v>41</v>
      </c>
      <c r="I88" s="7"/>
      <c r="J88" s="7">
        <v>0</v>
      </c>
      <c r="K88" s="7">
        <v>3</v>
      </c>
      <c r="L88" s="10">
        <f t="shared" si="4"/>
        <v>4251</v>
      </c>
      <c r="M88" s="12"/>
      <c r="N88">
        <f>L88/$M$86</f>
        <v>0.0613880545286506</v>
      </c>
    </row>
    <row r="89" ht="30" spans="1:14">
      <c r="A89" s="6" t="s">
        <v>99</v>
      </c>
      <c r="B89" s="7">
        <v>8192</v>
      </c>
      <c r="C89" s="7">
        <v>13567</v>
      </c>
      <c r="D89" s="7">
        <v>1635</v>
      </c>
      <c r="E89" s="7">
        <v>2796</v>
      </c>
      <c r="F89" s="7">
        <v>1650</v>
      </c>
      <c r="G89" s="7">
        <v>557</v>
      </c>
      <c r="H89" s="7">
        <v>1093</v>
      </c>
      <c r="I89" s="7"/>
      <c r="J89" s="7">
        <v>14</v>
      </c>
      <c r="K89" s="7">
        <v>154</v>
      </c>
      <c r="L89" s="10">
        <f t="shared" si="4"/>
        <v>29658</v>
      </c>
      <c r="M89" s="12"/>
      <c r="N89">
        <f>L89/$M$86</f>
        <v>0.428286737523105</v>
      </c>
    </row>
    <row r="90" ht="15" spans="1:14">
      <c r="A90" s="6" t="s">
        <v>100</v>
      </c>
      <c r="B90" s="7">
        <v>5715</v>
      </c>
      <c r="C90" s="7">
        <v>21719</v>
      </c>
      <c r="D90" s="7">
        <v>2939</v>
      </c>
      <c r="E90" s="7">
        <v>5242</v>
      </c>
      <c r="F90" s="7">
        <v>1056</v>
      </c>
      <c r="G90" s="7">
        <v>170</v>
      </c>
      <c r="H90" s="7">
        <v>883</v>
      </c>
      <c r="I90" s="7">
        <v>4</v>
      </c>
      <c r="J90" s="7">
        <v>368</v>
      </c>
      <c r="K90" s="7">
        <v>48</v>
      </c>
      <c r="L90" s="10">
        <f t="shared" si="4"/>
        <v>38144</v>
      </c>
      <c r="M90" s="11">
        <f>SUM(L90:L92)</f>
        <v>66084</v>
      </c>
      <c r="N90">
        <f>L90/$M$90</f>
        <v>0.577204769687065</v>
      </c>
    </row>
    <row r="91" ht="30" spans="1:14">
      <c r="A91" s="6" t="s">
        <v>101</v>
      </c>
      <c r="B91" s="7">
        <v>2052</v>
      </c>
      <c r="C91" s="7">
        <v>1778</v>
      </c>
      <c r="D91" s="7">
        <v>720</v>
      </c>
      <c r="E91" s="7">
        <v>331</v>
      </c>
      <c r="F91" s="7">
        <v>446</v>
      </c>
      <c r="G91" s="7">
        <v>320</v>
      </c>
      <c r="H91" s="7">
        <v>125</v>
      </c>
      <c r="I91" s="7"/>
      <c r="J91" s="7">
        <v>5</v>
      </c>
      <c r="K91" s="7">
        <v>8</v>
      </c>
      <c r="L91" s="10">
        <f t="shared" si="4"/>
        <v>5785</v>
      </c>
      <c r="M91" s="12"/>
      <c r="N91">
        <f>L91/$M$90</f>
        <v>0.0875401004781793</v>
      </c>
    </row>
    <row r="92" ht="30" spans="1:14">
      <c r="A92" s="6" t="s">
        <v>102</v>
      </c>
      <c r="B92" s="7">
        <v>7261</v>
      </c>
      <c r="C92" s="7">
        <v>3346</v>
      </c>
      <c r="D92" s="7">
        <v>4221</v>
      </c>
      <c r="E92" s="7">
        <v>1260</v>
      </c>
      <c r="F92" s="7">
        <v>2948</v>
      </c>
      <c r="G92" s="7">
        <v>2257</v>
      </c>
      <c r="H92" s="7">
        <v>691</v>
      </c>
      <c r="I92" s="7"/>
      <c r="J92" s="7">
        <v>2</v>
      </c>
      <c r="K92" s="7">
        <v>169</v>
      </c>
      <c r="L92" s="10">
        <f t="shared" si="4"/>
        <v>22155</v>
      </c>
      <c r="M92" s="12"/>
      <c r="N92">
        <f>L92/$M$90</f>
        <v>0.335255129834756</v>
      </c>
    </row>
    <row r="93" ht="30" spans="1:14">
      <c r="A93" s="6" t="s">
        <v>103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10">
        <f t="shared" si="4"/>
        <v>0</v>
      </c>
      <c r="M93" s="11">
        <f>SUM(L93:L94)</f>
        <v>0</v>
      </c>
      <c r="N93">
        <v>0</v>
      </c>
    </row>
    <row r="94" ht="45" spans="1:14">
      <c r="A94" s="6" t="s">
        <v>104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10">
        <f t="shared" si="4"/>
        <v>0</v>
      </c>
      <c r="M94" s="12"/>
      <c r="N94">
        <v>0</v>
      </c>
    </row>
    <row r="95" spans="12:14">
      <c r="L95" s="10">
        <f>SUM(L8:L94)</f>
        <v>3894935</v>
      </c>
      <c r="M95" s="10">
        <f>SUM(M8:M94)</f>
        <v>3894935</v>
      </c>
      <c r="N95" s="10">
        <f>SUM(N8:N94)</f>
        <v>19</v>
      </c>
    </row>
    <row r="96" spans="1:1">
      <c r="A96" t="s">
        <v>105</v>
      </c>
    </row>
  </sheetData>
  <mergeCells count="17">
    <mergeCell ref="B6:K6"/>
    <mergeCell ref="M8:M10"/>
    <mergeCell ref="M11:M15"/>
    <mergeCell ref="M16:M39"/>
    <mergeCell ref="M41:M44"/>
    <mergeCell ref="M45:M47"/>
    <mergeCell ref="M48:M50"/>
    <mergeCell ref="M51:M55"/>
    <mergeCell ref="M56:M57"/>
    <mergeCell ref="M58:M63"/>
    <mergeCell ref="M64:M66"/>
    <mergeCell ref="M68:M74"/>
    <mergeCell ref="M75:M80"/>
    <mergeCell ref="M83:M85"/>
    <mergeCell ref="M86:M89"/>
    <mergeCell ref="M90:M92"/>
    <mergeCell ref="M93:M9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LG2001TT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</cp:lastModifiedBy>
  <dcterms:created xsi:type="dcterms:W3CDTF">2026-03-18T14:41:00Z</dcterms:created>
  <dcterms:modified xsi:type="dcterms:W3CDTF">2026-03-22T10:47:29Z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B7565A5F86B64B6082EC550F8B2279B0_12</vt:lpwstr>
  </property>
  <property fmtid="{D5CDD505-2E9C-101B-9397-08002B2CF9AE}" pid="3" name="KSOProductBuildVer">
    <vt:lpwstr>1033-12.2.0.22222</vt:lpwstr>
  </property>
</Properties>
</file>