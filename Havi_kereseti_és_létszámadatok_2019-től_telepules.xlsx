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LG2001T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<sst xmlns="http://schemas.openxmlformats.org/spreadsheetml/2006/main" count="36" uniqueCount="36">
  <si>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Havi kereseti és létszámadatok 2019-től</t>
  </si>
  <si>
    <t>Munkáltatók teljes köre (alkalmazottal rendelkező vállalkozások, nonprofit szervezetek, illetve költségvetési intézmények teljes körűen)</t>
  </si>
  <si>
    <t>(Mindösszesen TEÁOR'08 és összevont szakágazatok; 2022. év; Mindösszesen Összevont létszám-kategóriák; Mindösszesen Összevont gazdálkodási formák)</t>
  </si>
  <si>
    <t>Mutatók</t>
  </si>
  <si>
    <t>Terület</t>
  </si>
  <si>
    <t>Teljes munkaidős fizikaiak létszáma (fő)</t>
  </si>
  <si>
    <t>Teljes munkaidős szellemiek létszáma (fő)</t>
  </si>
  <si>
    <t>Nem teljes munkaidőben (de legalább havi 60 munkaórában) alkalmazásban álló fizikai foglalkozásúak átlagos állományi létszáma (fő)</t>
  </si>
  <si>
    <t>Nem teljes munkaidőben (de legalább havi 60 munkaórában) alkalmazásban álló szellemi foglalkozásúak átlagos állományi létszáma (fő)</t>
  </si>
  <si>
    <t>Havi átlagban 60 munkaóránál rövidebb munkaidőben foglalkoztatottak átlagos állományi létszáma (fő)</t>
  </si>
  <si>
    <t>Munkaszerződés szerint havi 60 óránál rövidebb munkaidőben alkalmazásban álló fizikai foglalkozásúak átlagos állományi létszáma, fő)</t>
  </si>
  <si>
    <t>Munkaszerződés szerint havi 60 óránál rövidebb munkaidőben alkalmazásban álló szellemi foglalkozásúak átlagos állományi létszáma, fő</t>
  </si>
  <si>
    <t>Munkaszerződés szerint havi 60 óránál rövidebb munkaidőben alkalmazásban álló nem meghatározható foglalkozásúak átlagos állományi létszáma, fő</t>
  </si>
  <si>
    <t>Teljes munkaidőben alkalmazásban álló nem meghatározható foglalkozásúak átlagos állományi létszáma (fő)</t>
  </si>
  <si>
    <t>Nem teljes munkaidőben (de legalább havi 60 munkaórában) alkalmazásban álló nem meghatározható foglalkozásúak átlagos állományi létszáma (fő)</t>
  </si>
  <si>
    <t>Budapest</t>
  </si>
  <si>
    <t>Pest vármegye</t>
  </si>
  <si>
    <t>Fejér vármegye</t>
  </si>
  <si>
    <t>Komárom-Esztergom vármegye</t>
  </si>
  <si>
    <t>Veszprém vármegye</t>
  </si>
  <si>
    <t>Győr-Moson-Sopron vármegye</t>
  </si>
  <si>
    <t>Vas vármegye</t>
  </si>
  <si>
    <t>Zala vármegye</t>
  </si>
  <si>
    <t>Baranya vármegye</t>
  </si>
  <si>
    <t>Somogy vármegye</t>
  </si>
  <si>
    <t>Tolna vármegye</t>
  </si>
  <si>
    <t>Borsod-Abaúj-Zemplén vármegye</t>
  </si>
  <si>
    <t>Heves vármegye</t>
  </si>
  <si>
    <t>Nógrád vármegye</t>
  </si>
  <si>
    <t>Hajdú-Bihar vármegye</t>
  </si>
  <si>
    <t>Jász-Nagykun-Szolnok vármegye</t>
  </si>
  <si>
    <t>Szabolcs-Szatmár-Bereg vármegye</t>
  </si>
  <si>
    <t>Bács-Kiskun vármegye</t>
  </si>
  <si>
    <t>Békés vármegye</t>
  </si>
  <si>
    <t>Csongrád-Csanád vármegye</t>
  </si>
  <si>
    <t>Módszertani változás(https://www.ksh.hu/sajtoszoba_kozlemenyek_tajekoztatok_2025_05_20)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</si>
</sst>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6">
    <font>
      <sz val="11"/>
      <color indexed="8"/>
      <name val="Calibri"/>
      <charset val="134"/>
      <scheme val="minor"/>
    </font>
    <font>
      <b/>
      <sz val="18"/>
      <name val="Calibri"/>
      <charset val="134"/>
    </font>
    <font>
      <b/>
      <sz val="12"/>
      <name val="Calibri"/>
      <charset val="134"/>
    </font>
    <font>
      <sz val="10"/>
      <name val="Calibri"/>
      <charset val="134"/>
    </font>
    <font>
      <b/>
      <sz val="10"/>
      <name val="Calibri"/>
      <charset val="134"/>
    </font>
    <font>
      <b/>
      <sz val="10"/>
      <name val="Arial Unicode MS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7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10">
    <xf numFmtId="0" fontId="0" fillId="0" borderId="0" xfId="0" applyFont="1">
      <alignment vertical="center"/>
    </xf>
    <xf numFmtId="0" fontId="1" fillId="0" borderId="0" xfId="0" applyFont="1" applyAlignment="1"/>
    <xf numFmtId="0" fontId="2" fillId="0" borderId="0" xfId="0" applyFont="1" applyAlignment="1"/>
    <xf numFmtId="0" fontId="3" fillId="0" borderId="0" xfId="0" applyFont="1" applyAlignment="1"/>
    <xf numFmtId="0" fontId="4" fillId="2" borderId="1" xfId="0" applyFont="1" applyFill="1" applyBorder="1" applyAlignment="1">
      <alignment horizontal="center" vertical="center" wrapText="1"/>
    </xf>
    <xf numFmtId="0" fontId="0" fillId="0" borderId="2" xfId="0" applyNumberFormat="1" applyFont="1" applyFill="1" applyBorder="1" applyAlignment="1" applyProtection="1">
      <protection locked="0"/>
    </xf>
    <xf numFmtId="0" fontId="5" fillId="3" borderId="1" xfId="0" applyFont="1" applyFill="1" applyBorder="1" applyAlignment="1">
      <alignment vertical="center" wrapText="1"/>
    </xf>
    <xf numFmtId="0" fontId="0" fillId="0" borderId="1" xfId="0" applyFont="1" applyBorder="1" applyAlignment="1"/>
    <xf numFmtId="0" fontId="0" fillId="0" borderId="3" xfId="0" applyNumberFormat="1" applyFont="1" applyFill="1" applyBorder="1" applyAlignment="1" applyProtection="1">
      <protection locked="0"/>
    </xf>
    <xf numFmtId="0" fontId="0" fillId="0" borderId="0" xfId="0" applyNumberFormat="1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9"/>
  <sheetViews>
    <sheetView tabSelected="1" topLeftCell="F8" workbookViewId="0">
      <selection activeCell="L29" sqref="L29"/>
    </sheetView>
  </sheetViews>
  <sheetFormatPr defaultColWidth="9" defaultRowHeight="14.4"/>
  <cols>
    <col min="1" max="11" width="31.25" customWidth="1"/>
  </cols>
  <sheetData>
    <row r="1" ht="23.4" spans="1:1">
      <c r="A1" s="1" t="s">
        <v>0</v>
      </c>
    </row>
    <row r="2" ht="15.6" spans="1:1">
      <c r="A2" s="2" t="s">
        <v>1</v>
      </c>
    </row>
    <row r="4" spans="1:1">
      <c r="A4" s="3" t="s">
        <v>2</v>
      </c>
    </row>
    <row r="6" spans="2:11">
      <c r="B6" s="4" t="s">
        <v>3</v>
      </c>
      <c r="C6" s="5"/>
      <c r="D6" s="5"/>
      <c r="E6" s="5"/>
      <c r="F6" s="5"/>
      <c r="G6" s="5"/>
      <c r="H6" s="5"/>
      <c r="I6" s="5"/>
      <c r="J6" s="5"/>
      <c r="K6" s="8"/>
    </row>
    <row r="7" ht="75" spans="1:11">
      <c r="A7" s="4" t="s">
        <v>4</v>
      </c>
      <c r="B7" s="6" t="s">
        <v>5</v>
      </c>
      <c r="C7" s="6" t="s">
        <v>6</v>
      </c>
      <c r="D7" s="6" t="s">
        <v>7</v>
      </c>
      <c r="E7" s="6" t="s">
        <v>8</v>
      </c>
      <c r="F7" s="6" t="s">
        <v>9</v>
      </c>
      <c r="G7" s="6" t="s">
        <v>10</v>
      </c>
      <c r="H7" s="6" t="s">
        <v>11</v>
      </c>
      <c r="I7" s="6" t="s">
        <v>12</v>
      </c>
      <c r="J7" s="6" t="s">
        <v>13</v>
      </c>
      <c r="K7" s="6" t="s">
        <v>14</v>
      </c>
    </row>
    <row r="8" ht="15" spans="1:12">
      <c r="A8" s="6" t="s">
        <v>15</v>
      </c>
      <c r="B8" s="7">
        <v>405457</v>
      </c>
      <c r="C8" s="7">
        <v>714896</v>
      </c>
      <c r="D8" s="7">
        <v>85781</v>
      </c>
      <c r="E8" s="7">
        <v>87996</v>
      </c>
      <c r="F8" s="7">
        <v>44823</v>
      </c>
      <c r="G8" s="7">
        <v>20631</v>
      </c>
      <c r="H8" s="7">
        <v>24165</v>
      </c>
      <c r="I8" s="7">
        <v>28</v>
      </c>
      <c r="J8" s="7">
        <v>633</v>
      </c>
      <c r="K8" s="7">
        <v>1684</v>
      </c>
      <c r="L8" s="9">
        <f>SUM(B8:K8)</f>
        <v>1386094</v>
      </c>
    </row>
    <row r="9" ht="15" spans="1:12">
      <c r="A9" s="6" t="s">
        <v>16</v>
      </c>
      <c r="B9" s="7">
        <v>185702</v>
      </c>
      <c r="C9" s="7">
        <v>149725</v>
      </c>
      <c r="D9" s="7">
        <v>45994</v>
      </c>
      <c r="E9" s="7">
        <v>24135</v>
      </c>
      <c r="F9" s="7">
        <v>18883</v>
      </c>
      <c r="G9" s="7">
        <v>10697</v>
      </c>
      <c r="H9" s="7">
        <v>8177</v>
      </c>
      <c r="I9" s="7">
        <v>10</v>
      </c>
      <c r="J9" s="7">
        <v>209</v>
      </c>
      <c r="K9" s="7">
        <v>924</v>
      </c>
      <c r="L9" s="9">
        <f t="shared" ref="L9:L27" si="0">SUM(B9:K9)</f>
        <v>444456</v>
      </c>
    </row>
    <row r="10" ht="15" spans="1:12">
      <c r="A10" s="6" t="s">
        <v>17</v>
      </c>
      <c r="B10" s="7">
        <v>78891</v>
      </c>
      <c r="C10" s="7">
        <v>55391</v>
      </c>
      <c r="D10" s="7">
        <v>8019</v>
      </c>
      <c r="E10" s="7">
        <v>6006</v>
      </c>
      <c r="F10" s="7">
        <v>3324</v>
      </c>
      <c r="G10" s="7">
        <v>1620</v>
      </c>
      <c r="H10" s="7">
        <v>1702</v>
      </c>
      <c r="I10" s="7">
        <v>2</v>
      </c>
      <c r="J10" s="7">
        <v>22</v>
      </c>
      <c r="K10" s="7">
        <v>391</v>
      </c>
      <c r="L10" s="9">
        <f t="shared" si="0"/>
        <v>155368</v>
      </c>
    </row>
    <row r="11" ht="15" spans="1:12">
      <c r="A11" s="6" t="s">
        <v>18</v>
      </c>
      <c r="B11" s="7">
        <v>55012</v>
      </c>
      <c r="C11" s="7">
        <v>38028</v>
      </c>
      <c r="D11" s="7">
        <v>6097</v>
      </c>
      <c r="E11" s="7">
        <v>3905</v>
      </c>
      <c r="F11" s="7">
        <v>2402</v>
      </c>
      <c r="G11" s="7">
        <v>1233</v>
      </c>
      <c r="H11" s="7">
        <v>1169</v>
      </c>
      <c r="I11" s="7">
        <v>1</v>
      </c>
      <c r="J11" s="7">
        <v>17</v>
      </c>
      <c r="K11" s="7">
        <v>217</v>
      </c>
      <c r="L11" s="9">
        <f t="shared" si="0"/>
        <v>108081</v>
      </c>
    </row>
    <row r="12" ht="15" spans="1:12">
      <c r="A12" s="6" t="s">
        <v>19</v>
      </c>
      <c r="B12" s="7">
        <v>51990</v>
      </c>
      <c r="C12" s="7">
        <v>38591</v>
      </c>
      <c r="D12" s="7">
        <v>7557</v>
      </c>
      <c r="E12" s="7">
        <v>4307</v>
      </c>
      <c r="F12" s="7">
        <v>2933</v>
      </c>
      <c r="G12" s="7">
        <v>1475</v>
      </c>
      <c r="H12" s="7">
        <v>1457</v>
      </c>
      <c r="I12" s="7">
        <v>1</v>
      </c>
      <c r="J12" s="7">
        <v>20</v>
      </c>
      <c r="K12" s="7">
        <v>355</v>
      </c>
      <c r="L12" s="9">
        <f t="shared" si="0"/>
        <v>108686</v>
      </c>
    </row>
    <row r="13" ht="15" spans="1:12">
      <c r="A13" s="6" t="s">
        <v>20</v>
      </c>
      <c r="B13" s="7">
        <v>80799</v>
      </c>
      <c r="C13" s="7">
        <v>62550</v>
      </c>
      <c r="D13" s="7">
        <v>9978</v>
      </c>
      <c r="E13" s="7">
        <v>7715</v>
      </c>
      <c r="F13" s="7">
        <v>4970</v>
      </c>
      <c r="G13" s="7">
        <v>2737</v>
      </c>
      <c r="H13" s="7">
        <v>2230</v>
      </c>
      <c r="I13" s="7">
        <v>3</v>
      </c>
      <c r="J13" s="7">
        <v>18</v>
      </c>
      <c r="K13" s="7">
        <v>446</v>
      </c>
      <c r="L13" s="9">
        <f t="shared" si="0"/>
        <v>171446</v>
      </c>
    </row>
    <row r="14" ht="15" spans="1:12">
      <c r="A14" s="6" t="s">
        <v>21</v>
      </c>
      <c r="B14" s="7">
        <v>39211</v>
      </c>
      <c r="C14" s="7">
        <v>26762</v>
      </c>
      <c r="D14" s="7">
        <v>4433</v>
      </c>
      <c r="E14" s="7">
        <v>2999</v>
      </c>
      <c r="F14" s="7">
        <v>1853</v>
      </c>
      <c r="G14" s="7">
        <v>960</v>
      </c>
      <c r="H14" s="7">
        <v>891</v>
      </c>
      <c r="I14" s="7">
        <v>2</v>
      </c>
      <c r="J14" s="7">
        <v>2</v>
      </c>
      <c r="K14" s="7">
        <v>165</v>
      </c>
      <c r="L14" s="9">
        <f t="shared" si="0"/>
        <v>77278</v>
      </c>
    </row>
    <row r="15" ht="15" spans="1:12">
      <c r="A15" s="6" t="s">
        <v>22</v>
      </c>
      <c r="B15" s="7">
        <v>38215</v>
      </c>
      <c r="C15" s="7">
        <v>26483</v>
      </c>
      <c r="D15" s="7">
        <v>5157</v>
      </c>
      <c r="E15" s="7">
        <v>3170</v>
      </c>
      <c r="F15" s="7">
        <v>2241</v>
      </c>
      <c r="G15" s="7">
        <v>1094</v>
      </c>
      <c r="H15" s="7">
        <v>1147</v>
      </c>
      <c r="I15" s="7">
        <v>1</v>
      </c>
      <c r="J15" s="7">
        <v>9</v>
      </c>
      <c r="K15" s="7">
        <v>523</v>
      </c>
      <c r="L15" s="9">
        <f t="shared" si="0"/>
        <v>78040</v>
      </c>
    </row>
    <row r="16" ht="15" spans="1:12">
      <c r="A16" s="6" t="s">
        <v>23</v>
      </c>
      <c r="B16" s="7">
        <v>44969</v>
      </c>
      <c r="C16" s="7">
        <v>42390</v>
      </c>
      <c r="D16" s="7">
        <v>7647</v>
      </c>
      <c r="E16" s="7">
        <v>5762</v>
      </c>
      <c r="F16" s="7">
        <v>3211</v>
      </c>
      <c r="G16" s="7">
        <v>1358</v>
      </c>
      <c r="H16" s="7">
        <v>1854</v>
      </c>
      <c r="I16" s="7"/>
      <c r="J16" s="7">
        <v>17</v>
      </c>
      <c r="K16" s="7">
        <v>488</v>
      </c>
      <c r="L16" s="9">
        <f t="shared" si="0"/>
        <v>107696</v>
      </c>
    </row>
    <row r="17" ht="15" spans="1:12">
      <c r="A17" s="6" t="s">
        <v>24</v>
      </c>
      <c r="B17" s="7">
        <v>40405</v>
      </c>
      <c r="C17" s="7">
        <v>31082</v>
      </c>
      <c r="D17" s="7">
        <v>5572</v>
      </c>
      <c r="E17" s="7">
        <v>3196</v>
      </c>
      <c r="F17" s="7">
        <v>2290</v>
      </c>
      <c r="G17" s="7">
        <v>1236</v>
      </c>
      <c r="H17" s="7">
        <v>1051</v>
      </c>
      <c r="I17" s="7">
        <v>3</v>
      </c>
      <c r="J17" s="7">
        <v>56</v>
      </c>
      <c r="K17" s="7">
        <v>636</v>
      </c>
      <c r="L17" s="9">
        <f t="shared" si="0"/>
        <v>85527</v>
      </c>
    </row>
    <row r="18" ht="15" spans="1:12">
      <c r="A18" s="6" t="s">
        <v>25</v>
      </c>
      <c r="B18" s="7">
        <v>27504</v>
      </c>
      <c r="C18" s="7">
        <v>22686</v>
      </c>
      <c r="D18" s="7">
        <v>4645</v>
      </c>
      <c r="E18" s="7">
        <v>2381</v>
      </c>
      <c r="F18" s="7">
        <v>1357</v>
      </c>
      <c r="G18" s="7">
        <v>747</v>
      </c>
      <c r="H18" s="7">
        <v>609</v>
      </c>
      <c r="I18" s="7">
        <v>1</v>
      </c>
      <c r="J18" s="7">
        <v>16</v>
      </c>
      <c r="K18" s="7">
        <v>353</v>
      </c>
      <c r="L18" s="9">
        <f t="shared" si="0"/>
        <v>60299</v>
      </c>
    </row>
    <row r="19" ht="30" spans="1:12">
      <c r="A19" s="6" t="s">
        <v>26</v>
      </c>
      <c r="B19" s="7">
        <v>88884</v>
      </c>
      <c r="C19" s="7">
        <v>65976</v>
      </c>
      <c r="D19" s="7">
        <v>11208</v>
      </c>
      <c r="E19" s="7">
        <v>5871</v>
      </c>
      <c r="F19" s="7">
        <v>3686</v>
      </c>
      <c r="G19" s="7">
        <v>2022</v>
      </c>
      <c r="H19" s="7">
        <v>1664</v>
      </c>
      <c r="I19" s="7">
        <v>1</v>
      </c>
      <c r="J19" s="7">
        <v>46</v>
      </c>
      <c r="K19" s="7">
        <v>720</v>
      </c>
      <c r="L19" s="9">
        <f t="shared" si="0"/>
        <v>180078</v>
      </c>
    </row>
    <row r="20" ht="15" spans="1:12">
      <c r="A20" s="6" t="s">
        <v>27</v>
      </c>
      <c r="B20" s="7">
        <v>39324</v>
      </c>
      <c r="C20" s="7">
        <v>30086</v>
      </c>
      <c r="D20" s="7">
        <v>5645</v>
      </c>
      <c r="E20" s="7">
        <v>3174</v>
      </c>
      <c r="F20" s="7">
        <v>2210</v>
      </c>
      <c r="G20" s="7">
        <v>1164</v>
      </c>
      <c r="H20" s="7">
        <v>1045</v>
      </c>
      <c r="I20" s="7">
        <v>0</v>
      </c>
      <c r="J20" s="7">
        <v>11</v>
      </c>
      <c r="K20" s="7">
        <v>783</v>
      </c>
      <c r="L20" s="9">
        <f t="shared" si="0"/>
        <v>83442</v>
      </c>
    </row>
    <row r="21" ht="15" spans="1:12">
      <c r="A21" s="6" t="s">
        <v>28</v>
      </c>
      <c r="B21" s="7">
        <v>17186</v>
      </c>
      <c r="C21" s="7">
        <v>13678</v>
      </c>
      <c r="D21" s="7">
        <v>2465</v>
      </c>
      <c r="E21" s="7">
        <v>1313</v>
      </c>
      <c r="F21" s="7">
        <v>1064</v>
      </c>
      <c r="G21" s="7">
        <v>564</v>
      </c>
      <c r="H21" s="7">
        <v>501</v>
      </c>
      <c r="I21" s="7"/>
      <c r="J21" s="7">
        <v>3</v>
      </c>
      <c r="K21" s="7">
        <v>44</v>
      </c>
      <c r="L21" s="9">
        <f t="shared" si="0"/>
        <v>36818</v>
      </c>
    </row>
    <row r="22" ht="15" spans="1:12">
      <c r="A22" s="6" t="s">
        <v>29</v>
      </c>
      <c r="B22" s="7">
        <v>73466</v>
      </c>
      <c r="C22" s="7">
        <v>64293</v>
      </c>
      <c r="D22" s="7">
        <v>11248</v>
      </c>
      <c r="E22" s="7">
        <v>6462</v>
      </c>
      <c r="F22" s="7">
        <v>4261</v>
      </c>
      <c r="G22" s="7">
        <v>1866</v>
      </c>
      <c r="H22" s="7">
        <v>2394</v>
      </c>
      <c r="I22" s="7">
        <v>1</v>
      </c>
      <c r="J22" s="7">
        <v>56</v>
      </c>
      <c r="K22" s="7">
        <v>733</v>
      </c>
      <c r="L22" s="9">
        <f t="shared" si="0"/>
        <v>164780</v>
      </c>
    </row>
    <row r="23" ht="30" spans="1:12">
      <c r="A23" s="6" t="s">
        <v>30</v>
      </c>
      <c r="B23" s="7">
        <v>54365</v>
      </c>
      <c r="C23" s="7">
        <v>36157</v>
      </c>
      <c r="D23" s="7">
        <v>7358</v>
      </c>
      <c r="E23" s="7">
        <v>3473</v>
      </c>
      <c r="F23" s="7">
        <v>2394</v>
      </c>
      <c r="G23" s="7">
        <v>1235</v>
      </c>
      <c r="H23" s="7">
        <v>1159</v>
      </c>
      <c r="I23" s="7">
        <v>1</v>
      </c>
      <c r="J23" s="7">
        <v>13</v>
      </c>
      <c r="K23" s="7">
        <v>437</v>
      </c>
      <c r="L23" s="9">
        <f t="shared" si="0"/>
        <v>106592</v>
      </c>
    </row>
    <row r="24" ht="30" spans="1:12">
      <c r="A24" s="6" t="s">
        <v>31</v>
      </c>
      <c r="B24" s="7">
        <v>77447</v>
      </c>
      <c r="C24" s="7">
        <v>51701</v>
      </c>
      <c r="D24" s="7">
        <v>11930</v>
      </c>
      <c r="E24" s="7">
        <v>4902</v>
      </c>
      <c r="F24" s="7">
        <v>3279</v>
      </c>
      <c r="G24" s="7">
        <v>1609</v>
      </c>
      <c r="H24" s="7">
        <v>1669</v>
      </c>
      <c r="I24" s="7">
        <v>0</v>
      </c>
      <c r="J24" s="7">
        <v>43</v>
      </c>
      <c r="K24" s="7">
        <v>1379</v>
      </c>
      <c r="L24" s="9">
        <f t="shared" si="0"/>
        <v>153959</v>
      </c>
    </row>
    <row r="25" ht="15" spans="1:12">
      <c r="A25" s="6" t="s">
        <v>32</v>
      </c>
      <c r="B25" s="7">
        <v>77428</v>
      </c>
      <c r="C25" s="7">
        <v>52729</v>
      </c>
      <c r="D25" s="7">
        <v>12424</v>
      </c>
      <c r="E25" s="7">
        <v>7057</v>
      </c>
      <c r="F25" s="7">
        <v>5757</v>
      </c>
      <c r="G25" s="7">
        <v>3208</v>
      </c>
      <c r="H25" s="7">
        <v>2548</v>
      </c>
      <c r="I25" s="7">
        <v>2</v>
      </c>
      <c r="J25" s="7">
        <v>35</v>
      </c>
      <c r="K25" s="7">
        <v>1464</v>
      </c>
      <c r="L25" s="9">
        <f t="shared" si="0"/>
        <v>162652</v>
      </c>
    </row>
    <row r="26" ht="15" spans="1:12">
      <c r="A26" s="6" t="s">
        <v>33</v>
      </c>
      <c r="B26" s="7">
        <v>43762</v>
      </c>
      <c r="C26" s="7">
        <v>31878</v>
      </c>
      <c r="D26" s="7">
        <v>7274</v>
      </c>
      <c r="E26" s="7">
        <v>3507</v>
      </c>
      <c r="F26" s="7">
        <v>2460</v>
      </c>
      <c r="G26" s="7">
        <v>1283</v>
      </c>
      <c r="H26" s="7">
        <v>1175</v>
      </c>
      <c r="I26" s="7">
        <v>2</v>
      </c>
      <c r="J26" s="7">
        <v>20</v>
      </c>
      <c r="K26" s="7">
        <v>661</v>
      </c>
      <c r="L26" s="9">
        <f t="shared" si="0"/>
        <v>92022</v>
      </c>
    </row>
    <row r="27" ht="15" spans="1:12">
      <c r="A27" s="6" t="s">
        <v>34</v>
      </c>
      <c r="B27" s="7">
        <v>51719</v>
      </c>
      <c r="C27" s="7">
        <v>49279</v>
      </c>
      <c r="D27" s="7">
        <v>11137</v>
      </c>
      <c r="E27" s="7">
        <v>7160</v>
      </c>
      <c r="F27" s="7">
        <v>5628</v>
      </c>
      <c r="G27" s="7">
        <v>2844</v>
      </c>
      <c r="H27" s="7">
        <v>2784</v>
      </c>
      <c r="I27" s="7">
        <v>1</v>
      </c>
      <c r="J27" s="7">
        <v>32</v>
      </c>
      <c r="K27" s="7">
        <v>1032</v>
      </c>
      <c r="L27" s="9">
        <f t="shared" si="0"/>
        <v>131616</v>
      </c>
    </row>
    <row r="28" spans="12:12">
      <c r="L28" s="9">
        <f>SUM(L8:L27)</f>
        <v>3894930</v>
      </c>
    </row>
    <row r="29" spans="1:1">
      <c r="A29" t="s">
        <v>35</v>
      </c>
    </row>
  </sheetData>
  <mergeCells count="1">
    <mergeCell ref="B6:K6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LG2001TT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Windows</cp:lastModifiedBy>
  <dcterms:created xsi:type="dcterms:W3CDTF">2026-03-22T15:44:00Z</dcterms:created>
  <dcterms:modified xsi:type="dcterms:W3CDTF">2026-03-22T14:44:43Z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9D95C0D98B8745388176352E26338C59_12</vt:lpwstr>
  </property>
  <property fmtid="{D5CDD505-2E9C-101B-9397-08002B2CF9AE}" pid="3" name="KSOProductBuildVer">
    <vt:lpwstr>1033-12.2.0.22222</vt:lpwstr>
  </property>
</Properties>
</file>