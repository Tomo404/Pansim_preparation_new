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dattábla" sheetId="1" r:id="rId1"/>
    <sheet name="Adatla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<sst xmlns="http://schemas.openxmlformats.org/spreadsheetml/2006/main" count="47" uniqueCount="43">
  <si>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A foglalkoztatott népesség nemzetgazdasági ág szerint vármegyénként, településtípusonként</t>
  </si>
  <si>
    <t/>
  </si>
  <si>
    <t>2022</t>
  </si>
  <si>
    <t>KSH</t>
  </si>
  <si>
    <t>ratio</t>
  </si>
  <si>
    <t>népszámlálás %</t>
  </si>
  <si>
    <t>KSH %</t>
  </si>
  <si>
    <t>Foglalkoztatott</t>
  </si>
  <si>
    <t>Mezőgazdaság, erdőgazdálkodás, halászat</t>
  </si>
  <si>
    <t>Bányászat, kőfejtés</t>
  </si>
  <si>
    <t>Feldolgozóipar</t>
  </si>
  <si>
    <t>Villamosenergia-, gáz-, gőzellátás, légkondicionálás</t>
  </si>
  <si>
    <t>Vízellátás; szennyvíz gyűjtése, kezelése, hulladékgazdálkodás, szennyeződésmentesítés</t>
  </si>
  <si>
    <t>Építőipar</t>
  </si>
  <si>
    <t>Kereskedelem, gépjárműjavítás</t>
  </si>
  <si>
    <t>Szállítás, raktározás</t>
  </si>
  <si>
    <t>Szálláshely-szolgáltatás, vendéglátás</t>
  </si>
  <si>
    <t>Információ, kommunikáció</t>
  </si>
  <si>
    <t>Pénzügyi, biztosítási tevékenység</t>
  </si>
  <si>
    <t>Ingatlanügyletek</t>
  </si>
  <si>
    <t>Szakmai, tudományos, műszaki tevékenység</t>
  </si>
  <si>
    <t>Adminisztratív és szolgáltatást támogató tevékenység</t>
  </si>
  <si>
    <t>Közigazgatás, védelem; kötelező társadalombiztosítás</t>
  </si>
  <si>
    <t>Oktatás</t>
  </si>
  <si>
    <t>Humán-egészségügyi, szociális ellátás</t>
  </si>
  <si>
    <t>Művészet, szórakoztatás, szabad idő</t>
  </si>
  <si>
    <t>Egyéb szolgáltatás</t>
  </si>
  <si>
    <t>Háztartás munkaadói tevékenysége; termék előállítása, szolgáltatás végzése saját fogyasztásra</t>
  </si>
  <si>
    <t>Adatkör azonosítója</t>
  </si>
  <si>
    <t>WBS016</t>
  </si>
  <si>
    <t>Adatkör megnevezése</t>
  </si>
  <si>
    <t>Letöltés ideje</t>
  </si>
  <si>
    <t>2026. március 13., péntek 11:56:03 CET</t>
  </si>
  <si>
    <t>Forrás cím</t>
  </si>
  <si>
    <t>https://nepszamlalas2022.ksh.hu/adatbazis/#/table/WBS016/N4IgFgpghgJiBcBtEAVAkgWQKIH0AKWASmgPIAiIAugDQgDOAljBAshgKoByA0t-Tmk5kATFVp0IAYwAuDAPYA7VjRAAzBgBtpEAE50EoANYMFceCAxQADiFoQF0nQwj6kbLr36CRtoybMgAMoQ0rYgAG5QGgCuLqwgWBh4YQCCYQBCYQDCYRS0WGEAYmEA4mEAEmFoYQBSYdxhADJhGGGcYSRhybQAimGEYYFhKFQAvjTI6Nj4RKR5fqYIQSFhkTFxSCDCAAzCopTjB6NAA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</si>
  <si>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</si>
  <si>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</si>
  <si>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</si>
  <si>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</si>
  <si>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</si>
  <si>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</si>
  <si>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</si>
  <si>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Nemzetgazdasági ág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</si>
</sst>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0"/>
  </numFmts>
  <fonts count="22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/>
    </xf>
    <xf numFmtId="3" fontId="1" fillId="0" borderId="0" xfId="0" applyNumberFormat="1" applyFont="1" applyAlignment="1">
      <alignment horizontal="right"/>
    </xf>
    <xf numFmtId="0" fontId="0" fillId="0" borderId="0" xfId="0" applyNumberFormat="1"/>
    <xf numFmtId="4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#/table/WBS016/N4IgFgpghgJiBcBtEAVAkgWQKIH0AKWASmgPIAiIAugDQgDOAljBAshgKoByA0t-Tmk5kATFVp0IAYwAuDAPYA7VjRAAzBgBtpEAE50EoANYMFceCAxQADiFoQF0nQwj6kbLr36CRtoybMgAMoQ0rYgAG5QGgCuLqwgWBh4YQCCYQBCYQDCYRS0WGEAYmEA4mEAEmFoYQBSYdxhADJhGGGcYSRhybQAimGEYYFhKFQAvjTI6Nj4RKR5fqYIQSFhkTFxSCDCAAzCopTjB6N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G8" sqref="G8"/>
    </sheetView>
  </sheetViews>
  <sheetFormatPr defaultColWidth="15" defaultRowHeight="14.4" outlineLevelCol="5"/>
  <cols>
    <col min="1" max="1" width="25" customWidth="1"/>
  </cols>
  <sheetData>
    <row r="1" spans="1:1">
      <c r="A1" s="2" t="s">
        <v>0</v>
      </c>
    </row>
    <row r="2" spans="1:6">
      <c r="A2" s="1" t="s">
        <v>1</v>
      </c>
      <c r="B2" s="3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s="1" t="s">
        <v>7</v>
      </c>
      <c r="B3" s="4">
        <v>4718660</v>
      </c>
      <c r="C3" s="5">
        <v>3894935</v>
      </c>
      <c r="D3" s="6">
        <f>C3/B3</f>
        <v>0.825432432088771</v>
      </c>
      <c r="E3">
        <v>4718660</v>
      </c>
      <c r="F3">
        <v>3894935</v>
      </c>
    </row>
    <row r="4" spans="1:6">
      <c r="A4" s="1" t="s">
        <v>8</v>
      </c>
      <c r="B4" s="4">
        <v>174860</v>
      </c>
      <c r="C4">
        <v>96512</v>
      </c>
      <c r="D4" s="6">
        <f t="shared" ref="D4:D23" si="0">C4/B4</f>
        <v>0.551938693812193</v>
      </c>
      <c r="E4" s="7">
        <f>B4/$E$3</f>
        <v>0.0370571306260676</v>
      </c>
      <c r="F4" s="7">
        <f>C4/$F$3</f>
        <v>0.0247788474005343</v>
      </c>
    </row>
    <row r="5" spans="1:6">
      <c r="A5" s="1" t="s">
        <v>9</v>
      </c>
      <c r="B5" s="4">
        <v>6758</v>
      </c>
      <c r="C5">
        <v>4338</v>
      </c>
      <c r="D5" s="6">
        <f t="shared" si="0"/>
        <v>0.641905889316366</v>
      </c>
      <c r="E5" s="7">
        <f t="shared" ref="E5:E23" si="1">B5/$E$3</f>
        <v>0.00143218625626767</v>
      </c>
      <c r="F5" s="7">
        <f t="shared" ref="F5:F23" si="2">C5/$F$3</f>
        <v>0.00111375414480601</v>
      </c>
    </row>
    <row r="6" spans="1:6">
      <c r="A6" s="1" t="s">
        <v>10</v>
      </c>
      <c r="B6" s="4">
        <v>887486</v>
      </c>
      <c r="C6">
        <v>757223</v>
      </c>
      <c r="D6" s="6">
        <f t="shared" si="0"/>
        <v>0.853222473368594</v>
      </c>
      <c r="E6" s="7">
        <f t="shared" si="1"/>
        <v>0.188080090534177</v>
      </c>
      <c r="F6" s="7">
        <f t="shared" si="2"/>
        <v>0.19441223024261</v>
      </c>
    </row>
    <row r="7" spans="1:6">
      <c r="A7" s="1" t="s">
        <v>11</v>
      </c>
      <c r="B7" s="4">
        <v>39926</v>
      </c>
      <c r="C7">
        <v>27593</v>
      </c>
      <c r="D7" s="6">
        <f t="shared" si="0"/>
        <v>0.691103541551871</v>
      </c>
      <c r="E7" s="7">
        <f t="shared" si="1"/>
        <v>0.00846130045394243</v>
      </c>
      <c r="F7" s="7">
        <f t="shared" si="2"/>
        <v>0.00708432875003049</v>
      </c>
    </row>
    <row r="8" spans="1:6">
      <c r="A8" s="1" t="s">
        <v>12</v>
      </c>
      <c r="B8" s="4">
        <v>45718</v>
      </c>
      <c r="C8">
        <v>41709</v>
      </c>
      <c r="D8" s="6">
        <f t="shared" si="0"/>
        <v>0.912310249792204</v>
      </c>
      <c r="E8" s="7">
        <f t="shared" si="1"/>
        <v>0.00968876757384512</v>
      </c>
      <c r="F8" s="7">
        <f t="shared" si="2"/>
        <v>0.010708522735296</v>
      </c>
    </row>
    <row r="9" spans="1:6">
      <c r="A9" s="1" t="s">
        <v>13</v>
      </c>
      <c r="B9" s="4">
        <v>351274</v>
      </c>
      <c r="C9">
        <v>251561</v>
      </c>
      <c r="D9" s="6">
        <f t="shared" si="0"/>
        <v>0.716138968440591</v>
      </c>
      <c r="E9" s="7">
        <f t="shared" si="1"/>
        <v>0.0744435920367223</v>
      </c>
      <c r="F9" s="7">
        <f t="shared" si="2"/>
        <v>0.0645867004199043</v>
      </c>
    </row>
    <row r="10" spans="1:6">
      <c r="A10" s="1" t="s">
        <v>14</v>
      </c>
      <c r="B10" s="4">
        <v>617902</v>
      </c>
      <c r="C10">
        <v>547709</v>
      </c>
      <c r="D10" s="6">
        <f t="shared" si="0"/>
        <v>0.886401079782878</v>
      </c>
      <c r="E10" s="7">
        <f t="shared" si="1"/>
        <v>0.13094861676832</v>
      </c>
      <c r="F10" s="7">
        <f t="shared" si="2"/>
        <v>0.140620831926592</v>
      </c>
    </row>
    <row r="11" spans="1:6">
      <c r="A11" s="1" t="s">
        <v>15</v>
      </c>
      <c r="B11" s="4">
        <v>296077</v>
      </c>
      <c r="C11">
        <v>237452</v>
      </c>
      <c r="D11" s="6">
        <f t="shared" si="0"/>
        <v>0.8019940758654</v>
      </c>
      <c r="E11" s="7">
        <f t="shared" si="1"/>
        <v>0.0627459914467243</v>
      </c>
      <c r="F11" s="7">
        <f t="shared" si="2"/>
        <v>0.0609643036404972</v>
      </c>
    </row>
    <row r="12" spans="1:6">
      <c r="A12" s="1" t="s">
        <v>16</v>
      </c>
      <c r="B12" s="4">
        <v>216966</v>
      </c>
      <c r="C12">
        <v>163431</v>
      </c>
      <c r="D12" s="6">
        <f t="shared" si="0"/>
        <v>0.753256270567739</v>
      </c>
      <c r="E12" s="7">
        <f t="shared" si="1"/>
        <v>0.045980426646548</v>
      </c>
      <c r="F12" s="7">
        <f t="shared" si="2"/>
        <v>0.0419598786629302</v>
      </c>
    </row>
    <row r="13" spans="1:6">
      <c r="A13" s="1" t="s">
        <v>17</v>
      </c>
      <c r="B13" s="4">
        <v>170102</v>
      </c>
      <c r="C13">
        <v>135018</v>
      </c>
      <c r="D13" s="6">
        <f t="shared" si="0"/>
        <v>0.793747281043139</v>
      </c>
      <c r="E13" s="7">
        <f t="shared" si="1"/>
        <v>0.0360487935134127</v>
      </c>
      <c r="F13" s="7">
        <f t="shared" si="2"/>
        <v>0.0346650200837755</v>
      </c>
    </row>
    <row r="14" spans="1:6">
      <c r="A14" s="1" t="s">
        <v>18</v>
      </c>
      <c r="B14" s="4">
        <v>103059</v>
      </c>
      <c r="C14">
        <v>74530</v>
      </c>
      <c r="D14" s="6">
        <f t="shared" si="0"/>
        <v>0.723177985425824</v>
      </c>
      <c r="E14" s="7">
        <f t="shared" si="1"/>
        <v>0.0218407344457961</v>
      </c>
      <c r="F14" s="7">
        <f t="shared" si="2"/>
        <v>0.0191351075178405</v>
      </c>
    </row>
    <row r="15" spans="1:6">
      <c r="A15" s="1" t="s">
        <v>19</v>
      </c>
      <c r="B15" s="4">
        <v>43523</v>
      </c>
      <c r="C15">
        <v>57769</v>
      </c>
      <c r="D15" s="6">
        <f t="shared" si="0"/>
        <v>1.32732118649909</v>
      </c>
      <c r="E15" s="7">
        <f t="shared" si="1"/>
        <v>0.00922359313873006</v>
      </c>
      <c r="F15" s="7">
        <f t="shared" si="2"/>
        <v>0.0148318264618023</v>
      </c>
    </row>
    <row r="16" spans="1:6">
      <c r="A16" s="1" t="s">
        <v>20</v>
      </c>
      <c r="B16" s="4">
        <v>233901</v>
      </c>
      <c r="C16">
        <v>219677</v>
      </c>
      <c r="D16" s="6">
        <f t="shared" si="0"/>
        <v>0.939187947037422</v>
      </c>
      <c r="E16" s="7">
        <f t="shared" si="1"/>
        <v>0.0495693692700894</v>
      </c>
      <c r="F16" s="7">
        <f t="shared" si="2"/>
        <v>0.0564006844786883</v>
      </c>
    </row>
    <row r="17" spans="1:6">
      <c r="A17" s="1" t="s">
        <v>21</v>
      </c>
      <c r="B17" s="4">
        <v>240007</v>
      </c>
      <c r="C17">
        <v>238928</v>
      </c>
      <c r="D17" s="6">
        <f t="shared" si="0"/>
        <v>0.995504297791314</v>
      </c>
      <c r="E17" s="7">
        <f t="shared" si="1"/>
        <v>0.0508633807055393</v>
      </c>
      <c r="F17" s="7">
        <f t="shared" si="2"/>
        <v>0.0613432573329208</v>
      </c>
    </row>
    <row r="18" spans="1:6">
      <c r="A18" s="1" t="s">
        <v>22</v>
      </c>
      <c r="B18" s="4">
        <v>424830</v>
      </c>
      <c r="C18">
        <v>325673</v>
      </c>
      <c r="D18" s="6">
        <f t="shared" si="0"/>
        <v>0.76659605018478</v>
      </c>
      <c r="E18" s="7">
        <f t="shared" si="1"/>
        <v>0.090031915840514</v>
      </c>
      <c r="F18" s="7">
        <f t="shared" si="2"/>
        <v>0.0836144890736302</v>
      </c>
    </row>
    <row r="19" spans="1:6">
      <c r="A19" s="1" t="s">
        <v>23</v>
      </c>
      <c r="B19" s="4">
        <v>327689</v>
      </c>
      <c r="C19">
        <v>289684</v>
      </c>
      <c r="D19" s="6">
        <f t="shared" si="0"/>
        <v>0.884021129790747</v>
      </c>
      <c r="E19" s="7">
        <f t="shared" si="1"/>
        <v>0.0694453510106683</v>
      </c>
      <c r="F19" s="7">
        <f t="shared" si="2"/>
        <v>0.0743745402683228</v>
      </c>
    </row>
    <row r="20" spans="1:6">
      <c r="A20" s="1" t="s">
        <v>24</v>
      </c>
      <c r="B20" s="4">
        <v>332688</v>
      </c>
      <c r="C20">
        <v>290796</v>
      </c>
      <c r="D20" s="6">
        <f t="shared" si="0"/>
        <v>0.874080219304574</v>
      </c>
      <c r="E20" s="7">
        <f t="shared" si="1"/>
        <v>0.0705047619451285</v>
      </c>
      <c r="F20" s="7">
        <f t="shared" si="2"/>
        <v>0.0746600392561108</v>
      </c>
    </row>
    <row r="21" spans="1:6">
      <c r="A21" s="1" t="s">
        <v>25</v>
      </c>
      <c r="B21" s="4">
        <v>84179</v>
      </c>
      <c r="C21">
        <v>69248</v>
      </c>
      <c r="D21" s="6">
        <f t="shared" si="0"/>
        <v>0.822627971346773</v>
      </c>
      <c r="E21" s="7">
        <f t="shared" si="1"/>
        <v>0.0178395985300912</v>
      </c>
      <c r="F21" s="7">
        <f t="shared" si="2"/>
        <v>0.0177789873258475</v>
      </c>
    </row>
    <row r="22" spans="1:6">
      <c r="A22" s="1" t="s">
        <v>26</v>
      </c>
      <c r="B22" s="4">
        <v>115217</v>
      </c>
      <c r="C22">
        <v>66084</v>
      </c>
      <c r="D22" s="6">
        <f t="shared" si="0"/>
        <v>0.573561193226694</v>
      </c>
      <c r="E22" s="7">
        <f t="shared" si="1"/>
        <v>0.0244173133898183</v>
      </c>
      <c r="F22" s="7">
        <f t="shared" si="2"/>
        <v>0.0169666502778609</v>
      </c>
    </row>
    <row r="23" spans="1:6">
      <c r="A23" s="1" t="s">
        <v>27</v>
      </c>
      <c r="B23" s="4">
        <v>4743</v>
      </c>
      <c r="C23">
        <v>0</v>
      </c>
      <c r="D23" s="6">
        <f t="shared" si="0"/>
        <v>0</v>
      </c>
      <c r="E23" s="7">
        <f t="shared" si="1"/>
        <v>0.00100515824407777</v>
      </c>
      <c r="F23" s="7">
        <f t="shared" si="2"/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25" customWidth="1"/>
    <col min="2" max="2" width="40" customWidth="1"/>
  </cols>
  <sheetData>
    <row r="1" spans="1:2">
      <c r="A1" s="1" t="s">
        <v>28</v>
      </c>
      <c r="B1" s="1" t="s">
        <v>29</v>
      </c>
    </row>
    <row r="2" spans="1:2">
      <c r="A2" s="1" t="s">
        <v>30</v>
      </c>
      <c r="B2" s="1" t="s">
        <v>0</v>
      </c>
    </row>
    <row r="3" spans="1:2">
      <c r="A3" s="1" t="s">
        <v>31</v>
      </c>
      <c r="B3" s="1" t="s">
        <v>32</v>
      </c>
    </row>
    <row r="4" spans="1:2">
      <c r="A4" s="1" t="s">
        <v>33</v>
      </c>
      <c r="B4" s="1" t="s">
        <v>34</v>
      </c>
    </row>
    <row r="5" spans="1:1">
      <c r="A5" s="1" t="s">
        <v>1</v>
      </c>
    </row>
    <row r="6" spans="1:1">
      <c r="A6" s="1" t="s">
        <v>35</v>
      </c>
    </row>
    <row r="7" spans="1:2">
      <c r="A7" s="1" t="s">
        <v>36</v>
      </c>
      <c r="B7" s="1" t="s">
        <v>37</v>
      </c>
    </row>
    <row r="8" spans="1:2">
      <c r="A8" s="1" t="s">
        <v>38</v>
      </c>
      <c r="B8" s="1" t="s">
        <v>39</v>
      </c>
    </row>
    <row r="9" spans="1:1">
      <c r="A9" s="1" t="s">
        <v>1</v>
      </c>
    </row>
    <row r="10" spans="1:2">
      <c r="A10" s="1" t="s">
        <v>40</v>
      </c>
      <c r="B10" s="1" t="s">
        <v>41</v>
      </c>
    </row>
    <row r="11" spans="1:2">
      <c r="A11" s="1" t="s">
        <v>1</v>
      </c>
      <c r="B11" s="1" t="s">
        <v>42</v>
      </c>
    </row>
  </sheetData>
  <hyperlinks>
    <hyperlink ref="B4" r:id="rId1" display="https://nepszamlalas2022.ksh.hu/adatbazis/#/table/WBS016/N4IgFgpghgJiBcBtEAVAkgWQKIH0AKWASmgPIAiIAugDQgDOAljBAshgKoByA0t-Tmk5kATFVp0IAYwAuDAPYA7VjRAAzBgBtpEAE50EoANYMFceCAxQADiFoQF0nQwj6kbLr36CRtoybMgAMoQ0rYgAG5QGgCuLqwgWBh4YQCCYQBCYQDCYRS0WGEAYmEA4mEAEmFoYQBSYdxhADJhGGGcYSRhybQAimGEYYFhKFQAvjTI6Nj4RKR5fqYIQSFhkTFxSCDCAAzCopTjB6NAA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Windows</cp:lastModifiedBy>
  <dcterms:created xsi:type="dcterms:W3CDTF">2026-03-13T10:56:00Z</dcterms:created>
  <dcterms:modified xsi:type="dcterms:W3CDTF">2026-03-22T10:21:24Z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70A5292D898848DE9060A4580171D16A_12</vt:lpwstr>
  </property>
  <property fmtid="{D5CDD505-2E9C-101B-9397-08002B2CF9AE}" pid="3" name="KSOProductBuildVer">
    <vt:lpwstr>1033-12.2.0.22222</vt:lpwstr>
  </property>
</Properties>
</file>